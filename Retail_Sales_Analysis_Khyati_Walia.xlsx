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5E1D3BC4-4602-4DAE-83CF-ADC5AC31FB3A}" xr6:coauthVersionLast="47" xr6:coauthVersionMax="47" xr10:uidLastSave="{00000000-0000-0000-0000-000000000000}"/>
  <bookViews>
    <workbookView xWindow="-120" yWindow="-120" windowWidth="20730" windowHeight="11160" activeTab="2" xr2:uid="{00000000-000D-0000-FFFF-FFFF00000000}"/>
  </bookViews>
  <sheets>
    <sheet name="Retail Sales &amp; Profit Analysis " sheetId="1" r:id="rId1"/>
    <sheet name="Analysis" sheetId="2" r:id="rId2"/>
    <sheet name="Dashboard" sheetId="5" r:id="rId3"/>
  </sheets>
  <definedNames>
    <definedName name="Slicer_Channel">#N/A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 l="1"/>
  <c r="H2" i="2"/>
  <c r="C2" i="2"/>
  <c r="C3" i="2"/>
  <c r="O16" i="2"/>
  <c r="U2" i="2"/>
</calcChain>
</file>

<file path=xl/sharedStrings.xml><?xml version="1.0" encoding="utf-8"?>
<sst xmlns="http://schemas.openxmlformats.org/spreadsheetml/2006/main" count="2117" uniqueCount="59">
  <si>
    <t>Order_ID</t>
  </si>
  <si>
    <t>Order_Date</t>
  </si>
  <si>
    <t>Customer_ID</t>
  </si>
  <si>
    <t>Region</t>
  </si>
  <si>
    <t>Channel</t>
  </si>
  <si>
    <t>Product_Category</t>
  </si>
  <si>
    <t>Product_Name</t>
  </si>
  <si>
    <t>Quantity</t>
  </si>
  <si>
    <t>Unit_Price</t>
  </si>
  <si>
    <t>Discount_Pct</t>
  </si>
  <si>
    <t>Gross_Revenue</t>
  </si>
  <si>
    <t>Discount_Amount</t>
  </si>
  <si>
    <t>Net_Revenue</t>
  </si>
  <si>
    <t>Cost_per_Unit</t>
  </si>
  <si>
    <t>Total_Cost</t>
  </si>
  <si>
    <t>Profit</t>
  </si>
  <si>
    <t>Profit_Margin_Pct</t>
  </si>
  <si>
    <t>West</t>
  </si>
  <si>
    <t>In-Store</t>
  </si>
  <si>
    <t>Home</t>
  </si>
  <si>
    <t>Headphones</t>
  </si>
  <si>
    <t>North</t>
  </si>
  <si>
    <t>Watch</t>
  </si>
  <si>
    <t>East</t>
  </si>
  <si>
    <t>Online</t>
  </si>
  <si>
    <t>Accessories</t>
  </si>
  <si>
    <t>Clothing</t>
  </si>
  <si>
    <t>Blender</t>
  </si>
  <si>
    <t>Sneakers</t>
  </si>
  <si>
    <t>South</t>
  </si>
  <si>
    <t>T-shirt</t>
  </si>
  <si>
    <t>Jeans</t>
  </si>
  <si>
    <t>Backpack</t>
  </si>
  <si>
    <t>Electronics</t>
  </si>
  <si>
    <t>Total Net Revenue</t>
  </si>
  <si>
    <t>Total Profit</t>
  </si>
  <si>
    <t>Row Labels</t>
  </si>
  <si>
    <t>Grand Total</t>
  </si>
  <si>
    <t>Sum of Net_Revenue</t>
  </si>
  <si>
    <t>Sum of Quantity</t>
  </si>
  <si>
    <t>Sum of Profit</t>
  </si>
  <si>
    <t>Average of Profit_Margin_Pct</t>
  </si>
  <si>
    <t>Average of Profit</t>
  </si>
  <si>
    <t>Average of Net_Revenue</t>
  </si>
  <si>
    <t>2025</t>
  </si>
  <si>
    <t>Jan</t>
  </si>
  <si>
    <t>Feb</t>
  </si>
  <si>
    <t>Mar</t>
  </si>
  <si>
    <t>Apr</t>
  </si>
  <si>
    <t>May</t>
  </si>
  <si>
    <t>Jun</t>
  </si>
  <si>
    <t>Jul</t>
  </si>
  <si>
    <t>Aug</t>
  </si>
  <si>
    <t>Sep</t>
  </si>
  <si>
    <t>Oct</t>
  </si>
  <si>
    <t>Nov</t>
  </si>
  <si>
    <t>Dec</t>
  </si>
  <si>
    <t>2026</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</si>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</sst>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7"/>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AECE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8"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color theme="0"/>
      </font>
      <fill>
        <patternFill>
          <bgColor rgb="FF2D3436"/>
        </patternFill>
      </fill>
      <border>
        <left style="thin">
          <color theme="0"/>
        </left>
        <right style="thin">
          <color theme="0"/>
        </right>
        <top style="thin">
          <color theme="0"/>
        </top>
        <bottom style="thin">
          <color theme="0"/>
        </bottom>
        <vertical/>
        <horizontal/>
      </border>
    </dxf>
    <dxf>
      <fill>
        <patternFill>
          <bgColor rgb="FF2D3436"/>
        </patternFill>
      </fill>
      <border>
        <left style="thin">
          <color rgb="FF2D3436"/>
        </left>
        <right style="thin">
          <color rgb="FF2D3436"/>
        </right>
        <top style="thin">
          <color rgb="FF2D3436"/>
        </top>
        <bottom style="thin">
          <color rgb="FF2D3436"/>
        </bottom>
      </border>
    </dxf>
  </dxfs>
  <tableStyles count="1" defaultTableStyle="TableStyleMedium2" defaultPivotStyle="PivotStyleLight16">
    <tableStyle name="SlicerStyleDark1 2" pivot="0" table="0" count="10" xr9:uid="{0491B03E-AF06-4A71-A2DB-D5667C191D81}">
      <tableStyleElement type="wholeTable" dxfId="1"/>
      <tableStyleElement type="headerRow" dxfId="0"/>
    </tableStyle>
  </tableStyles>
  <colors>
    <mruColors>
      <color rgb="FF2D3436"/>
      <color rgb="FF636E72"/>
      <color rgb="FF27AE60"/>
      <color rgb="FFEAECEE"/>
      <color rgb="FFDFE6E9"/>
      <color rgb="FFFFFFFF"/>
      <color rgb="FFF4F6F5"/>
      <color rgb="FF00C6A2"/>
      <color rgb="FFE05252"/>
      <color rgb="FFF5F5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color theme="0"/>
            <name val="Calibri"/>
            <family val="2"/>
            <scheme val="minor"/>
          </font>
          <fill>
            <patternFill patternType="solid">
              <fgColor theme="4"/>
              <bgColor rgb="FF27AE60"/>
            </patternFill>
          </fill>
          <border>
            <left style="thin">
              <color theme="0"/>
            </left>
            <right style="thin">
              <color theme="0"/>
            </right>
            <top style="thin">
              <color theme="0"/>
            </top>
            <bottom style="thin">
              <color theme="0"/>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auto="1"/>
          </font>
          <fill>
            <patternFill patternType="solid">
              <fgColor rgb="FFC0C0C0"/>
              <bgColor rgb="FFFFFFFF"/>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[Retail_Sales_Analysis_Khyati_Walia.xlsx]Analysis!PivotTable5</c:name>
    <c:fmtId val="2"/>
  </c:pivotSource>
  <c:chart>
    <c:title>
      <c:tx>
        <c:rich>
          <a:bodyPr rot="0" spcFirstLastPara="1" vertOverflow="ellipsis" vert="horz" wrap="square" anchor="ctr" anchorCtr="1"/>
          <a:lstStyle/>
          <a:p>
            <a:pPr>
              <a:defRPr sz="1400" b="1" i="0" u="none" strike="noStrike" kern="1200" spc="0" baseline="0">
                <a:solidFill>
                  <a:srgbClr val="2D3436"/>
                </a:solidFill>
                <a:latin typeface="+mn-lt"/>
                <a:ea typeface="+mn-ea"/>
                <a:cs typeface="+mn-cs"/>
              </a:defRPr>
            </a:pPr>
            <a:r>
              <a:rPr lang="en-IN" sz="1400" b="1" i="0" u="none" strike="noStrike" baseline="0">
                <a:solidFill>
                  <a:srgbClr val="2D3436"/>
                </a:solidFill>
              </a:rPr>
              <a:t>Revenue vs Profit by Region</a:t>
            </a:r>
            <a:endParaRPr lang="en-IN" sz="1400" b="1">
              <a:solidFill>
                <a:srgbClr val="2D3436"/>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D3436"/>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C6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C6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D34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c:f>
              <c:strCache>
                <c:ptCount val="1"/>
                <c:pt idx="0">
                  <c:v>Sum of Net_Revenue</c:v>
                </c:pt>
              </c:strCache>
            </c:strRef>
          </c:tx>
          <c:spPr>
            <a:solidFill>
              <a:srgbClr val="2D3436"/>
            </a:solidFill>
            <a:ln>
              <a:noFill/>
            </a:ln>
            <a:effectLst/>
          </c:spPr>
          <c:invertIfNegative val="0"/>
          <c:cat>
            <c:strRef>
              <c:f>Analysis!$E$3:$E$7</c:f>
              <c:strCache>
                <c:ptCount val="4"/>
                <c:pt idx="0">
                  <c:v>North</c:v>
                </c:pt>
                <c:pt idx="1">
                  <c:v>East</c:v>
                </c:pt>
                <c:pt idx="2">
                  <c:v>West</c:v>
                </c:pt>
                <c:pt idx="3">
                  <c:v>South</c:v>
                </c:pt>
              </c:strCache>
            </c:strRef>
          </c:cat>
          <c:val>
            <c:numRef>
              <c:f>Analysis!$F$3:$F$7</c:f>
              <c:numCache>
                <c:formatCode>General</c:formatCode>
                <c:ptCount val="4"/>
                <c:pt idx="0">
                  <c:v>81211.251499999926</c:v>
                </c:pt>
                <c:pt idx="1">
                  <c:v>71096.773999999947</c:v>
                </c:pt>
                <c:pt idx="2">
                  <c:v>71032.138999999937</c:v>
                </c:pt>
                <c:pt idx="3">
                  <c:v>71008.218999999939</c:v>
                </c:pt>
              </c:numCache>
            </c:numRef>
          </c:val>
          <c:extLst>
            <c:ext xmlns:c16="http://schemas.microsoft.com/office/drawing/2014/chart" uri="{C3380CC4-5D6E-409C-BE32-E72D297353CC}">
              <c16:uniqueId val="{00000000-B474-4ACC-BCE4-F423A1115507}"/>
            </c:ext>
          </c:extLst>
        </c:ser>
        <c:ser>
          <c:idx val="1"/>
          <c:order val="1"/>
          <c:tx>
            <c:strRef>
              <c:f>Analysis!$G$2</c:f>
              <c:strCache>
                <c:ptCount val="1"/>
                <c:pt idx="0">
                  <c:v>Sum of Profit</c:v>
                </c:pt>
              </c:strCache>
            </c:strRef>
          </c:tx>
          <c:spPr>
            <a:solidFill>
              <a:srgbClr val="27AE60"/>
            </a:solidFill>
            <a:ln>
              <a:noFill/>
            </a:ln>
            <a:effectLst/>
          </c:spPr>
          <c:invertIfNegative val="0"/>
          <c:cat>
            <c:strRef>
              <c:f>Analysis!$E$3:$E$7</c:f>
              <c:strCache>
                <c:ptCount val="4"/>
                <c:pt idx="0">
                  <c:v>North</c:v>
                </c:pt>
                <c:pt idx="1">
                  <c:v>East</c:v>
                </c:pt>
                <c:pt idx="2">
                  <c:v>West</c:v>
                </c:pt>
                <c:pt idx="3">
                  <c:v>South</c:v>
                </c:pt>
              </c:strCache>
            </c:strRef>
          </c:cat>
          <c:val>
            <c:numRef>
              <c:f>Analysis!$G$3:$G$7</c:f>
              <c:numCache>
                <c:formatCode>General</c:formatCode>
                <c:ptCount val="4"/>
                <c:pt idx="0">
                  <c:v>27633.011499999971</c:v>
                </c:pt>
                <c:pt idx="1">
                  <c:v>19646.413999999961</c:v>
                </c:pt>
                <c:pt idx="2">
                  <c:v>24025.968999999957</c:v>
                </c:pt>
                <c:pt idx="3">
                  <c:v>27758.378999999975</c:v>
                </c:pt>
              </c:numCache>
            </c:numRef>
          </c:val>
          <c:extLst>
            <c:ext xmlns:c16="http://schemas.microsoft.com/office/drawing/2014/chart" uri="{C3380CC4-5D6E-409C-BE32-E72D297353CC}">
              <c16:uniqueId val="{00000001-B474-4ACC-BCE4-F423A1115507}"/>
            </c:ext>
          </c:extLst>
        </c:ser>
        <c:dLbls>
          <c:showLegendKey val="0"/>
          <c:showVal val="0"/>
          <c:showCatName val="0"/>
          <c:showSerName val="0"/>
          <c:showPercent val="0"/>
          <c:showBubbleSize val="0"/>
        </c:dLbls>
        <c:gapWidth val="219"/>
        <c:overlap val="-27"/>
        <c:axId val="344955087"/>
        <c:axId val="352821903"/>
      </c:barChart>
      <c:catAx>
        <c:axId val="34495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D3436"/>
                </a:solidFill>
                <a:latin typeface="+mn-lt"/>
                <a:ea typeface="+mn-ea"/>
                <a:cs typeface="+mn-cs"/>
              </a:defRPr>
            </a:pPr>
            <a:endParaRPr lang="en-US"/>
          </a:p>
        </c:txPr>
        <c:crossAx val="352821903"/>
        <c:crossesAt val="0"/>
        <c:auto val="1"/>
        <c:lblAlgn val="ctr"/>
        <c:lblOffset val="100"/>
        <c:noMultiLvlLbl val="0"/>
      </c:catAx>
      <c:valAx>
        <c:axId val="35282190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D3436"/>
                </a:solidFill>
                <a:latin typeface="+mn-lt"/>
                <a:ea typeface="+mn-ea"/>
                <a:cs typeface="+mn-cs"/>
              </a:defRPr>
            </a:pPr>
            <a:endParaRPr lang="en-US"/>
          </a:p>
        </c:txPr>
        <c:crossAx val="34495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[Retail_Sales_Analysis_Khyati_Walia.xlsx]Analysis!PivotTable10</c:name>
    <c:fmtId val="3"/>
  </c:pivotSource>
  <c:chart>
    <c:title>
      <c:tx>
        <c:rich>
          <a:bodyPr rot="0" spcFirstLastPara="1" vertOverflow="ellipsis" vert="horz" wrap="square" anchor="ctr" anchorCtr="1"/>
          <a:lstStyle/>
          <a:p>
            <a:pPr>
              <a:defRPr sz="1400" b="1" i="0" u="none" strike="noStrike" kern="1200" spc="0" baseline="0">
                <a:solidFill>
                  <a:srgbClr val="2D3436"/>
                </a:solidFill>
                <a:latin typeface="+mn-lt"/>
                <a:ea typeface="+mn-ea"/>
                <a:cs typeface="+mn-cs"/>
              </a:defRPr>
            </a:pPr>
            <a:r>
              <a:rPr lang="en-IN" sz="1400" b="1" i="0" u="none" strike="noStrike" baseline="0">
                <a:solidFill>
                  <a:srgbClr val="2D3436"/>
                </a:solidFill>
              </a:rPr>
              <a:t>Profit Margin % by Product</a:t>
            </a:r>
            <a:endParaRPr lang="en-US" b="1">
              <a:solidFill>
                <a:srgbClr val="2D3436"/>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D343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c:spPr>
      </c:pivotFmt>
      <c:pivotFmt>
        <c:idx val="4"/>
        <c:spPr>
          <a:solidFill>
            <a:srgbClr val="E05252"/>
          </a:solidFill>
          <a:ln>
            <a:noFill/>
          </a:ln>
          <a:effectLst/>
        </c:spPr>
      </c:pivotFmt>
      <c:pivotFmt>
        <c:idx val="5"/>
        <c:spPr>
          <a:solidFill>
            <a:srgbClr val="E05252"/>
          </a:solidFill>
          <a:ln>
            <a:noFill/>
          </a:ln>
          <a:effectLst/>
        </c:spPr>
      </c:pivotFmt>
      <c:pivotFmt>
        <c:idx val="6"/>
        <c:spPr>
          <a:solidFill>
            <a:srgbClr val="E05252"/>
          </a:solidFill>
          <a:ln>
            <a:noFill/>
          </a:ln>
          <a:effectLst/>
        </c:spPr>
      </c:pivotFmt>
      <c:pivotFmt>
        <c:idx val="7"/>
        <c:spPr>
          <a:solidFill>
            <a:srgbClr val="E05252"/>
          </a:solidFill>
          <a:ln>
            <a:noFill/>
          </a:ln>
          <a:effectLst/>
        </c:spPr>
      </c:pivotFmt>
      <c:pivotFmt>
        <c:idx val="8"/>
        <c:spPr>
          <a:solidFill>
            <a:srgbClr val="E05252"/>
          </a:solidFill>
          <a:ln>
            <a:noFill/>
          </a:ln>
          <a:effectLst/>
        </c:spPr>
      </c:pivotFmt>
      <c:pivotFmt>
        <c:idx val="9"/>
        <c:spPr>
          <a:solidFill>
            <a:srgbClr val="E05252"/>
          </a:solidFill>
          <a:ln>
            <a:noFill/>
          </a:ln>
          <a:effectLst/>
        </c:spPr>
      </c:pivotFmt>
    </c:pivotFmts>
    <c:plotArea>
      <c:layout>
        <c:manualLayout>
          <c:layoutTarget val="inner"/>
          <c:xMode val="edge"/>
          <c:yMode val="edge"/>
          <c:x val="6.0659802300269336E-2"/>
          <c:y val="0.15151111111111112"/>
          <c:w val="0.90332168574626603"/>
          <c:h val="0.6644741907261591"/>
        </c:manualLayout>
      </c:layout>
      <c:barChart>
        <c:barDir val="bar"/>
        <c:grouping val="clustered"/>
        <c:varyColors val="0"/>
        <c:ser>
          <c:idx val="0"/>
          <c:order val="0"/>
          <c:tx>
            <c:strRef>
              <c:f>Analysis!$F$29</c:f>
              <c:strCache>
                <c:ptCount val="1"/>
                <c:pt idx="0">
                  <c:v>Total</c:v>
                </c:pt>
              </c:strCache>
            </c:strRef>
          </c:tx>
          <c:spPr>
            <a:solidFill>
              <a:schemeClr val="accent1"/>
            </a:solidFill>
            <a:ln>
              <a:noFill/>
            </a:ln>
            <a:effectLst/>
          </c:spPr>
          <c:invertIfNegative val="0"/>
          <c:dPt>
            <c:idx val="0"/>
            <c:invertIfNegative val="0"/>
            <c:bubble3D val="0"/>
            <c:spPr>
              <a:solidFill>
                <a:srgbClr val="E05252"/>
              </a:solidFill>
              <a:ln>
                <a:noFill/>
              </a:ln>
              <a:effectLst/>
            </c:spPr>
            <c:extLst>
              <c:ext xmlns:c16="http://schemas.microsoft.com/office/drawing/2014/chart" uri="{C3380CC4-5D6E-409C-BE32-E72D297353CC}">
                <c16:uniqueId val="{00000006-E58D-4173-BC7F-FBFA666A72A0}"/>
              </c:ext>
            </c:extLst>
          </c:dPt>
          <c:dPt>
            <c:idx val="1"/>
            <c:invertIfNegative val="0"/>
            <c:bubble3D val="0"/>
            <c:spPr>
              <a:solidFill>
                <a:srgbClr val="E05252"/>
              </a:solidFill>
              <a:ln>
                <a:noFill/>
              </a:ln>
              <a:effectLst/>
            </c:spPr>
            <c:extLst>
              <c:ext xmlns:c16="http://schemas.microsoft.com/office/drawing/2014/chart" uri="{C3380CC4-5D6E-409C-BE32-E72D297353CC}">
                <c16:uniqueId val="{00000007-E58D-4173-BC7F-FBFA666A72A0}"/>
              </c:ext>
            </c:extLst>
          </c:dPt>
          <c:dPt>
            <c:idx val="2"/>
            <c:invertIfNegative val="0"/>
            <c:bubble3D val="0"/>
            <c:spPr>
              <a:solidFill>
                <a:srgbClr val="E05252"/>
              </a:solidFill>
              <a:ln>
                <a:noFill/>
              </a:ln>
              <a:effectLst/>
            </c:spPr>
            <c:extLst>
              <c:ext xmlns:c16="http://schemas.microsoft.com/office/drawing/2014/chart" uri="{C3380CC4-5D6E-409C-BE32-E72D297353CC}">
                <c16:uniqueId val="{00000005-E58D-4173-BC7F-FBFA666A72A0}"/>
              </c:ext>
            </c:extLst>
          </c:dPt>
          <c:dPt>
            <c:idx val="3"/>
            <c:invertIfNegative val="0"/>
            <c:bubble3D val="0"/>
            <c:spPr>
              <a:solidFill>
                <a:srgbClr val="E05252"/>
              </a:solidFill>
              <a:ln>
                <a:noFill/>
              </a:ln>
              <a:effectLst/>
            </c:spPr>
            <c:extLst>
              <c:ext xmlns:c16="http://schemas.microsoft.com/office/drawing/2014/chart" uri="{C3380CC4-5D6E-409C-BE32-E72D297353CC}">
                <c16:uniqueId val="{00000003-E58D-4173-BC7F-FBFA666A72A0}"/>
              </c:ext>
            </c:extLst>
          </c:dPt>
          <c:dPt>
            <c:idx val="4"/>
            <c:invertIfNegative val="0"/>
            <c:bubble3D val="0"/>
            <c:spPr>
              <a:solidFill>
                <a:srgbClr val="E05252"/>
              </a:solidFill>
              <a:ln>
                <a:noFill/>
              </a:ln>
              <a:effectLst/>
            </c:spPr>
            <c:extLst>
              <c:ext xmlns:c16="http://schemas.microsoft.com/office/drawing/2014/chart" uri="{C3380CC4-5D6E-409C-BE32-E72D297353CC}">
                <c16:uniqueId val="{00000004-E58D-4173-BC7F-FBFA666A72A0}"/>
              </c:ext>
            </c:extLst>
          </c:dPt>
          <c:dPt>
            <c:idx val="5"/>
            <c:invertIfNegative val="0"/>
            <c:bubble3D val="0"/>
            <c:spPr>
              <a:solidFill>
                <a:srgbClr val="27AE60"/>
              </a:solidFill>
              <a:ln>
                <a:noFill/>
              </a:ln>
              <a:effectLst/>
            </c:spPr>
            <c:extLst>
              <c:ext xmlns:c16="http://schemas.microsoft.com/office/drawing/2014/chart" uri="{C3380CC4-5D6E-409C-BE32-E72D297353CC}">
                <c16:uniqueId val="{00000001-E58D-4173-BC7F-FBFA666A72A0}"/>
              </c:ext>
            </c:extLst>
          </c:dPt>
          <c:dPt>
            <c:idx val="6"/>
            <c:invertIfNegative val="0"/>
            <c:bubble3D val="0"/>
            <c:spPr>
              <a:solidFill>
                <a:srgbClr val="E05252"/>
              </a:solidFill>
              <a:ln>
                <a:noFill/>
              </a:ln>
              <a:effectLst/>
            </c:spPr>
            <c:extLst>
              <c:ext xmlns:c16="http://schemas.microsoft.com/office/drawing/2014/chart" uri="{C3380CC4-5D6E-409C-BE32-E72D297353CC}">
                <c16:uniqueId val="{00000002-E58D-4173-BC7F-FBFA666A72A0}"/>
              </c:ext>
            </c:extLst>
          </c:dPt>
          <c:cat>
            <c:strRef>
              <c:f>Analysis!$E$30:$E$36</c:f>
              <c:strCache>
                <c:ptCount val="7"/>
                <c:pt idx="0">
                  <c:v>Backpack</c:v>
                </c:pt>
                <c:pt idx="1">
                  <c:v>Blender</c:v>
                </c:pt>
                <c:pt idx="2">
                  <c:v>Headphones</c:v>
                </c:pt>
                <c:pt idx="3">
                  <c:v>Jeans</c:v>
                </c:pt>
                <c:pt idx="4">
                  <c:v>Sneakers</c:v>
                </c:pt>
                <c:pt idx="5">
                  <c:v>T-shirt</c:v>
                </c:pt>
                <c:pt idx="6">
                  <c:v>Watch</c:v>
                </c:pt>
              </c:strCache>
            </c:strRef>
          </c:cat>
          <c:val>
            <c:numRef>
              <c:f>Analysis!$F$30:$F$36</c:f>
              <c:numCache>
                <c:formatCode>General</c:formatCode>
                <c:ptCount val="7"/>
                <c:pt idx="0">
                  <c:v>-34.443996596452067</c:v>
                </c:pt>
                <c:pt idx="1">
                  <c:v>-1.2948908512649073</c:v>
                </c:pt>
                <c:pt idx="2">
                  <c:v>-22.663420313095443</c:v>
                </c:pt>
                <c:pt idx="3">
                  <c:v>-23.341127504334086</c:v>
                </c:pt>
                <c:pt idx="4">
                  <c:v>-2.9672568648808952</c:v>
                </c:pt>
                <c:pt idx="5">
                  <c:v>15.764982201745529</c:v>
                </c:pt>
                <c:pt idx="6">
                  <c:v>-42.260271917210474</c:v>
                </c:pt>
              </c:numCache>
            </c:numRef>
          </c:val>
          <c:extLst>
            <c:ext xmlns:c16="http://schemas.microsoft.com/office/drawing/2014/chart" uri="{C3380CC4-5D6E-409C-BE32-E72D297353CC}">
              <c16:uniqueId val="{00000000-E58D-4173-BC7F-FBFA666A72A0}"/>
            </c:ext>
          </c:extLst>
        </c:ser>
        <c:dLbls>
          <c:showLegendKey val="0"/>
          <c:showVal val="0"/>
          <c:showCatName val="0"/>
          <c:showSerName val="0"/>
          <c:showPercent val="0"/>
          <c:showBubbleSize val="0"/>
        </c:dLbls>
        <c:gapWidth val="182"/>
        <c:axId val="435521967"/>
        <c:axId val="435524367"/>
      </c:barChart>
      <c:catAx>
        <c:axId val="43552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D3436"/>
                </a:solidFill>
                <a:latin typeface="+mn-lt"/>
                <a:ea typeface="+mn-ea"/>
                <a:cs typeface="+mn-cs"/>
              </a:defRPr>
            </a:pPr>
            <a:endParaRPr lang="en-US"/>
          </a:p>
        </c:txPr>
        <c:crossAx val="435524367"/>
        <c:crosses val="autoZero"/>
        <c:auto val="1"/>
        <c:lblAlgn val="ctr"/>
        <c:lblOffset val="100"/>
        <c:noMultiLvlLbl val="0"/>
      </c:catAx>
      <c:valAx>
        <c:axId val="43552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D3436"/>
                </a:solidFill>
                <a:latin typeface="+mn-lt"/>
                <a:ea typeface="+mn-ea"/>
                <a:cs typeface="+mn-cs"/>
              </a:defRPr>
            </a:pPr>
            <a:endParaRPr lang="en-US"/>
          </a:p>
        </c:txPr>
        <c:crossAx val="43552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[Retail_Sales_Analysis_Khyati_Walia.xlsx]Analysis!PivotTable11</c:name>
    <c:fmtId val="2"/>
  </c:pivotSource>
  <c:chart>
    <c:title>
      <c:tx>
        <c:rich>
          <a:bodyPr rot="0" spcFirstLastPara="1" vertOverflow="ellipsis" vert="horz" wrap="square" anchor="ctr" anchorCtr="1"/>
          <a:lstStyle/>
          <a:p>
            <a:pPr>
              <a:defRPr sz="1400" b="1" i="0" u="none" strike="noStrike" kern="1200" spc="0" baseline="0">
                <a:solidFill>
                  <a:srgbClr val="2D3436"/>
                </a:solidFill>
                <a:latin typeface="+mn-lt"/>
                <a:ea typeface="+mn-ea"/>
                <a:cs typeface="+mn-cs"/>
              </a:defRPr>
            </a:pPr>
            <a:r>
              <a:rPr lang="en-IN" sz="1400" b="1" i="0" u="none" strike="noStrike" baseline="0">
                <a:solidFill>
                  <a:srgbClr val="2D3436"/>
                </a:solidFill>
              </a:rPr>
              <a:t>Monthly Revenue &amp; Profit Trend</a:t>
            </a:r>
            <a:endParaRPr lang="en-IN" b="1">
              <a:solidFill>
                <a:srgbClr val="2D3436"/>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D343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27AE60"/>
            </a:solidFill>
            <a:round/>
          </a:ln>
          <a:effectLst/>
        </c:spPr>
        <c:marker>
          <c:symbol val="circle"/>
          <c:size val="5"/>
          <c:spPr>
            <a:solidFill>
              <a:srgbClr val="27AE60"/>
            </a:solidFill>
            <a:ln w="9525">
              <a:solidFill>
                <a:srgbClr val="27AE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D3436"/>
            </a:solidFill>
            <a:round/>
          </a:ln>
          <a:effectLst/>
        </c:spPr>
        <c:marker>
          <c:symbol val="circle"/>
          <c:size val="5"/>
          <c:spPr>
            <a:solidFill>
              <a:srgbClr val="2D3436"/>
            </a:solidFill>
            <a:ln w="9525">
              <a:solidFill>
                <a:srgbClr val="2D343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27AE60"/>
            </a:solidFill>
            <a:round/>
          </a:ln>
          <a:effectLst/>
        </c:spPr>
        <c:marker>
          <c:symbol val="circle"/>
          <c:size val="5"/>
          <c:spPr>
            <a:solidFill>
              <a:srgbClr val="27AE60"/>
            </a:solidFill>
            <a:ln w="9525">
              <a:solidFill>
                <a:srgbClr val="27AE60"/>
              </a:solidFill>
            </a:ln>
            <a:effectLst/>
          </c:spPr>
        </c:marker>
      </c:pivotFmt>
    </c:pivotFmts>
    <c:plotArea>
      <c:layout/>
      <c:lineChart>
        <c:grouping val="standard"/>
        <c:varyColors val="0"/>
        <c:ser>
          <c:idx val="0"/>
          <c:order val="0"/>
          <c:tx>
            <c:strRef>
              <c:f>Analysis!$K$2</c:f>
              <c:strCache>
                <c:ptCount val="1"/>
                <c:pt idx="0">
                  <c:v>Sum of Profit</c:v>
                </c:pt>
              </c:strCache>
            </c:strRef>
          </c:tx>
          <c:spPr>
            <a:ln w="28575" cap="rnd">
              <a:solidFill>
                <a:srgbClr val="27AE60"/>
              </a:solidFill>
              <a:round/>
            </a:ln>
            <a:effectLst/>
          </c:spPr>
          <c:marker>
            <c:symbol val="circle"/>
            <c:size val="5"/>
            <c:spPr>
              <a:solidFill>
                <a:srgbClr val="27AE60"/>
              </a:solidFill>
              <a:ln w="9525">
                <a:solidFill>
                  <a:srgbClr val="27AE60"/>
                </a:solidFill>
              </a:ln>
              <a:effectLst/>
            </c:spPr>
          </c:marker>
          <c:cat>
            <c:multiLvlStrRef>
              <c:f>Analysis!$J$3:$J$22</c:f>
              <c:multiLvlStrCache>
                <c:ptCount val="17"/>
                <c:lvl>
                  <c:pt idx="0">
                    <c:v>Oct</c:v>
                  </c:pt>
                  <c:pt idx="1">
                    <c:v>Jul</c:v>
                  </c:pt>
                  <c:pt idx="2">
                    <c:v>May</c:v>
                  </c:pt>
                  <c:pt idx="3">
                    <c:v>Aug</c:v>
                  </c:pt>
                  <c:pt idx="4">
                    <c:v>Feb</c:v>
                  </c:pt>
                  <c:pt idx="5">
                    <c:v>Sep</c:v>
                  </c:pt>
                  <c:pt idx="6">
                    <c:v>Mar</c:v>
                  </c:pt>
                  <c:pt idx="7">
                    <c:v>Apr</c:v>
                  </c:pt>
                  <c:pt idx="8">
                    <c:v>Jun</c:v>
                  </c:pt>
                  <c:pt idx="9">
                    <c:v>Nov</c:v>
                  </c:pt>
                  <c:pt idx="10">
                    <c:v>Dec</c:v>
                  </c:pt>
                  <c:pt idx="11">
                    <c:v>Jan</c:v>
                  </c:pt>
                  <c:pt idx="12">
                    <c:v>Jan</c:v>
                  </c:pt>
                  <c:pt idx="13">
                    <c:v>Feb</c:v>
                  </c:pt>
                  <c:pt idx="14">
                    <c:v>May</c:v>
                  </c:pt>
                  <c:pt idx="15">
                    <c:v>Apr</c:v>
                  </c:pt>
                  <c:pt idx="16">
                    <c:v>Mar</c:v>
                  </c:pt>
                </c:lvl>
                <c:lvl>
                  <c:pt idx="0">
                    <c:v>2025</c:v>
                  </c:pt>
                  <c:pt idx="12">
                    <c:v>2026</c:v>
                  </c:pt>
                </c:lvl>
              </c:multiLvlStrCache>
            </c:multiLvlStrRef>
          </c:cat>
          <c:val>
            <c:numRef>
              <c:f>Analysis!$K$3:$K$22</c:f>
              <c:numCache>
                <c:formatCode>General</c:formatCode>
                <c:ptCount val="17"/>
                <c:pt idx="0">
                  <c:v>10800.577999999985</c:v>
                </c:pt>
                <c:pt idx="1">
                  <c:v>9437.5099999999948</c:v>
                </c:pt>
                <c:pt idx="2">
                  <c:v>7792.0664999999872</c:v>
                </c:pt>
                <c:pt idx="3">
                  <c:v>7626.4734999999746</c:v>
                </c:pt>
                <c:pt idx="4">
                  <c:v>7084.7134999999971</c:v>
                </c:pt>
                <c:pt idx="5">
                  <c:v>5820.2939999999971</c:v>
                </c:pt>
                <c:pt idx="6">
                  <c:v>5171.7884999999915</c:v>
                </c:pt>
                <c:pt idx="7">
                  <c:v>3954.8374999999892</c:v>
                </c:pt>
                <c:pt idx="8">
                  <c:v>3519.6070000000004</c:v>
                </c:pt>
                <c:pt idx="9">
                  <c:v>2878.1564999999987</c:v>
                </c:pt>
                <c:pt idx="10">
                  <c:v>2045.1114999999957</c:v>
                </c:pt>
                <c:pt idx="11">
                  <c:v>2029.3959999999968</c:v>
                </c:pt>
                <c:pt idx="12">
                  <c:v>9268.6359999999822</c:v>
                </c:pt>
                <c:pt idx="13">
                  <c:v>8965.1434999999856</c:v>
                </c:pt>
                <c:pt idx="14">
                  <c:v>5043.3964999999998</c:v>
                </c:pt>
                <c:pt idx="15">
                  <c:v>3968.6864999999966</c:v>
                </c:pt>
                <c:pt idx="16">
                  <c:v>3657.3784999999998</c:v>
                </c:pt>
              </c:numCache>
            </c:numRef>
          </c:val>
          <c:smooth val="0"/>
          <c:extLst>
            <c:ext xmlns:c16="http://schemas.microsoft.com/office/drawing/2014/chart" uri="{C3380CC4-5D6E-409C-BE32-E72D297353CC}">
              <c16:uniqueId val="{00000000-D817-4244-9655-C26714632CAA}"/>
            </c:ext>
          </c:extLst>
        </c:ser>
        <c:ser>
          <c:idx val="1"/>
          <c:order val="1"/>
          <c:tx>
            <c:strRef>
              <c:f>Analysis!$L$2</c:f>
              <c:strCache>
                <c:ptCount val="1"/>
                <c:pt idx="0">
                  <c:v>Sum of Net_Revenue</c:v>
                </c:pt>
              </c:strCache>
            </c:strRef>
          </c:tx>
          <c:spPr>
            <a:ln w="28575" cap="rnd">
              <a:solidFill>
                <a:srgbClr val="2D3436"/>
              </a:solidFill>
              <a:round/>
            </a:ln>
            <a:effectLst/>
          </c:spPr>
          <c:marker>
            <c:symbol val="circle"/>
            <c:size val="5"/>
            <c:spPr>
              <a:solidFill>
                <a:srgbClr val="2D3436"/>
              </a:solidFill>
              <a:ln w="9525">
                <a:solidFill>
                  <a:srgbClr val="2D3436"/>
                </a:solidFill>
              </a:ln>
              <a:effectLst/>
            </c:spPr>
          </c:marker>
          <c:cat>
            <c:multiLvlStrRef>
              <c:f>Analysis!$J$3:$J$22</c:f>
              <c:multiLvlStrCache>
                <c:ptCount val="17"/>
                <c:lvl>
                  <c:pt idx="0">
                    <c:v>Oct</c:v>
                  </c:pt>
                  <c:pt idx="1">
                    <c:v>Jul</c:v>
                  </c:pt>
                  <c:pt idx="2">
                    <c:v>May</c:v>
                  </c:pt>
                  <c:pt idx="3">
                    <c:v>Aug</c:v>
                  </c:pt>
                  <c:pt idx="4">
                    <c:v>Feb</c:v>
                  </c:pt>
                  <c:pt idx="5">
                    <c:v>Sep</c:v>
                  </c:pt>
                  <c:pt idx="6">
                    <c:v>Mar</c:v>
                  </c:pt>
                  <c:pt idx="7">
                    <c:v>Apr</c:v>
                  </c:pt>
                  <c:pt idx="8">
                    <c:v>Jun</c:v>
                  </c:pt>
                  <c:pt idx="9">
                    <c:v>Nov</c:v>
                  </c:pt>
                  <c:pt idx="10">
                    <c:v>Dec</c:v>
                  </c:pt>
                  <c:pt idx="11">
                    <c:v>Jan</c:v>
                  </c:pt>
                  <c:pt idx="12">
                    <c:v>Jan</c:v>
                  </c:pt>
                  <c:pt idx="13">
                    <c:v>Feb</c:v>
                  </c:pt>
                  <c:pt idx="14">
                    <c:v>May</c:v>
                  </c:pt>
                  <c:pt idx="15">
                    <c:v>Apr</c:v>
                  </c:pt>
                  <c:pt idx="16">
                    <c:v>Mar</c:v>
                  </c:pt>
                </c:lvl>
                <c:lvl>
                  <c:pt idx="0">
                    <c:v>2025</c:v>
                  </c:pt>
                  <c:pt idx="12">
                    <c:v>2026</c:v>
                  </c:pt>
                </c:lvl>
              </c:multiLvlStrCache>
            </c:multiLvlStrRef>
          </c:cat>
          <c:val>
            <c:numRef>
              <c:f>Analysis!$L$3:$L$22</c:f>
              <c:numCache>
                <c:formatCode>General</c:formatCode>
                <c:ptCount val="17"/>
                <c:pt idx="0">
                  <c:v>20405.617999999995</c:v>
                </c:pt>
                <c:pt idx="1">
                  <c:v>21368.689999999995</c:v>
                </c:pt>
                <c:pt idx="2">
                  <c:v>21678.336499999994</c:v>
                </c:pt>
                <c:pt idx="3">
                  <c:v>21150.483499999962</c:v>
                </c:pt>
                <c:pt idx="4">
                  <c:v>18495.753499999992</c:v>
                </c:pt>
                <c:pt idx="5">
                  <c:v>14660.303999999996</c:v>
                </c:pt>
                <c:pt idx="6">
                  <c:v>18895.978499999987</c:v>
                </c:pt>
                <c:pt idx="7">
                  <c:v>13665.40749999997</c:v>
                </c:pt>
                <c:pt idx="8">
                  <c:v>18623.816999999985</c:v>
                </c:pt>
                <c:pt idx="9">
                  <c:v>12319.746499999988</c:v>
                </c:pt>
                <c:pt idx="10">
                  <c:v>15132.011499999991</c:v>
                </c:pt>
                <c:pt idx="11">
                  <c:v>15354.435999999996</c:v>
                </c:pt>
                <c:pt idx="12">
                  <c:v>20090.045999999951</c:v>
                </c:pt>
                <c:pt idx="13">
                  <c:v>19512.253499999973</c:v>
                </c:pt>
                <c:pt idx="14">
                  <c:v>9476.0064999999886</c:v>
                </c:pt>
                <c:pt idx="15">
                  <c:v>17029.756499999996</c:v>
                </c:pt>
                <c:pt idx="16">
                  <c:v>16489.738499999989</c:v>
                </c:pt>
              </c:numCache>
            </c:numRef>
          </c:val>
          <c:smooth val="0"/>
          <c:extLst>
            <c:ext xmlns:c16="http://schemas.microsoft.com/office/drawing/2014/chart" uri="{C3380CC4-5D6E-409C-BE32-E72D297353CC}">
              <c16:uniqueId val="{00000001-D817-4244-9655-C26714632CAA}"/>
            </c:ext>
          </c:extLst>
        </c:ser>
        <c:dLbls>
          <c:showLegendKey val="0"/>
          <c:showVal val="0"/>
          <c:showCatName val="0"/>
          <c:showSerName val="0"/>
          <c:showPercent val="0"/>
          <c:showBubbleSize val="0"/>
        </c:dLbls>
        <c:marker val="1"/>
        <c:smooth val="0"/>
        <c:axId val="435523887"/>
        <c:axId val="435516687"/>
      </c:lineChart>
      <c:catAx>
        <c:axId val="435523887"/>
        <c:scaling>
          <c:orientation val="minMax"/>
        </c:scaling>
        <c:delete val="0"/>
        <c:axPos val="b"/>
        <c:numFmt formatCode="General" sourceLinked="1"/>
        <c:majorTickMark val="none"/>
        <c:minorTickMark val="none"/>
        <c:tickLblPos val="nextTo"/>
        <c:spPr>
          <a:noFill/>
          <a:ln w="9525" cap="flat" cmpd="sng" algn="ctr">
            <a:solidFill>
              <a:schemeClr val="accent1">
                <a:lumMod val="50000"/>
              </a:schemeClr>
            </a:solidFill>
            <a:round/>
          </a:ln>
          <a:effectLst/>
        </c:spPr>
        <c:txPr>
          <a:bodyPr rot="-60000000" spcFirstLastPara="1" vertOverflow="ellipsis" vert="horz" wrap="square" anchor="ctr" anchorCtr="1"/>
          <a:lstStyle/>
          <a:p>
            <a:pPr>
              <a:defRPr sz="900" b="1" i="0" u="none" strike="noStrike" kern="1200" baseline="0">
                <a:solidFill>
                  <a:srgbClr val="2D3436"/>
                </a:solidFill>
                <a:latin typeface="+mn-lt"/>
                <a:ea typeface="+mn-ea"/>
                <a:cs typeface="+mn-cs"/>
              </a:defRPr>
            </a:pPr>
            <a:endParaRPr lang="en-US"/>
          </a:p>
        </c:txPr>
        <c:crossAx val="435516687"/>
        <c:crosses val="autoZero"/>
        <c:auto val="1"/>
        <c:lblAlgn val="ctr"/>
        <c:lblOffset val="100"/>
        <c:noMultiLvlLbl val="0"/>
      </c:catAx>
      <c:valAx>
        <c:axId val="43551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D3436"/>
                </a:solidFill>
                <a:latin typeface="+mn-lt"/>
                <a:ea typeface="+mn-ea"/>
                <a:cs typeface="+mn-cs"/>
              </a:defRPr>
            </a:pPr>
            <a:endParaRPr lang="en-US"/>
          </a:p>
        </c:txPr>
        <c:crossAx val="43552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[Retail_Sales_Analysis_Khyati_Walia.xlsx]Analysis!PivotTable13</c:name>
    <c:fmtId val="8"/>
  </c:pivotSource>
  <c:chart>
    <c:title>
      <c:tx>
        <c:rich>
          <a:bodyPr rot="0" spcFirstLastPara="1" vertOverflow="ellipsis" vert="horz" wrap="square" anchor="ctr" anchorCtr="1"/>
          <a:lstStyle/>
          <a:p>
            <a:pPr>
              <a:defRPr sz="1400" b="1" i="0" u="none" strike="noStrike" kern="1200" spc="0" baseline="0">
                <a:solidFill>
                  <a:srgbClr val="2D3436"/>
                </a:solidFill>
                <a:latin typeface="+mn-lt"/>
                <a:ea typeface="+mn-ea"/>
                <a:cs typeface="+mn-cs"/>
              </a:defRPr>
            </a:pPr>
            <a:r>
              <a:rPr lang="en-IN" sz="1400" b="1" i="0" u="none" strike="noStrike" baseline="0">
                <a:solidFill>
                  <a:srgbClr val="2D3436"/>
                </a:solidFill>
              </a:rPr>
              <a:t>Revenue vs Profit by Product</a:t>
            </a:r>
            <a:endParaRPr lang="en-IN" b="1">
              <a:solidFill>
                <a:srgbClr val="2D3436"/>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D343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D34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D3436"/>
          </a:solidFill>
          <a:ln>
            <a:noFill/>
          </a:ln>
          <a:effectLst/>
        </c:spPr>
      </c:pivotFmt>
    </c:pivotFmts>
    <c:plotArea>
      <c:layout/>
      <c:barChart>
        <c:barDir val="bar"/>
        <c:grouping val="clustered"/>
        <c:varyColors val="0"/>
        <c:ser>
          <c:idx val="0"/>
          <c:order val="0"/>
          <c:tx>
            <c:strRef>
              <c:f>Analysis!$K$24</c:f>
              <c:strCache>
                <c:ptCount val="1"/>
                <c:pt idx="0">
                  <c:v>Sum of Net_Revenue</c:v>
                </c:pt>
              </c:strCache>
            </c:strRef>
          </c:tx>
          <c:spPr>
            <a:solidFill>
              <a:srgbClr val="2D3436"/>
            </a:solidFill>
            <a:ln>
              <a:noFill/>
            </a:ln>
            <a:effectLst/>
          </c:spPr>
          <c:invertIfNegative val="0"/>
          <c:cat>
            <c:strRef>
              <c:f>Analysis!$J$25:$J$31</c:f>
              <c:strCache>
                <c:ptCount val="7"/>
                <c:pt idx="0">
                  <c:v>Backpack</c:v>
                </c:pt>
                <c:pt idx="1">
                  <c:v>Blender</c:v>
                </c:pt>
                <c:pt idx="2">
                  <c:v>Headphones</c:v>
                </c:pt>
                <c:pt idx="3">
                  <c:v>Jeans</c:v>
                </c:pt>
                <c:pt idx="4">
                  <c:v>Sneakers</c:v>
                </c:pt>
                <c:pt idx="5">
                  <c:v>T-shirt</c:v>
                </c:pt>
                <c:pt idx="6">
                  <c:v>Watch</c:v>
                </c:pt>
              </c:strCache>
            </c:strRef>
          </c:cat>
          <c:val>
            <c:numRef>
              <c:f>Analysis!$K$25:$K$31</c:f>
              <c:numCache>
                <c:formatCode>General</c:formatCode>
                <c:ptCount val="7"/>
                <c:pt idx="0">
                  <c:v>37457.424499999972</c:v>
                </c:pt>
                <c:pt idx="1">
                  <c:v>42961.70949999999</c:v>
                </c:pt>
                <c:pt idx="2">
                  <c:v>46515.5075</c:v>
                </c:pt>
                <c:pt idx="3">
                  <c:v>43706.118999999926</c:v>
                </c:pt>
                <c:pt idx="4">
                  <c:v>48250.289499999999</c:v>
                </c:pt>
                <c:pt idx="5">
                  <c:v>44334.661499999936</c:v>
                </c:pt>
                <c:pt idx="6">
                  <c:v>31122.671999999973</c:v>
                </c:pt>
              </c:numCache>
            </c:numRef>
          </c:val>
          <c:extLst>
            <c:ext xmlns:c16="http://schemas.microsoft.com/office/drawing/2014/chart" uri="{C3380CC4-5D6E-409C-BE32-E72D297353CC}">
              <c16:uniqueId val="{00000000-5A1D-4750-AD83-77CEE8245302}"/>
            </c:ext>
          </c:extLst>
        </c:ser>
        <c:ser>
          <c:idx val="1"/>
          <c:order val="1"/>
          <c:tx>
            <c:strRef>
              <c:f>Analysis!$L$24</c:f>
              <c:strCache>
                <c:ptCount val="1"/>
                <c:pt idx="0">
                  <c:v>Sum of Profit</c:v>
                </c:pt>
              </c:strCache>
            </c:strRef>
          </c:tx>
          <c:spPr>
            <a:solidFill>
              <a:srgbClr val="27AE60"/>
            </a:solidFill>
            <a:ln>
              <a:noFill/>
            </a:ln>
            <a:effectLst/>
          </c:spPr>
          <c:invertIfNegative val="0"/>
          <c:cat>
            <c:strRef>
              <c:f>Analysis!$J$25:$J$31</c:f>
              <c:strCache>
                <c:ptCount val="7"/>
                <c:pt idx="0">
                  <c:v>Backpack</c:v>
                </c:pt>
                <c:pt idx="1">
                  <c:v>Blender</c:v>
                </c:pt>
                <c:pt idx="2">
                  <c:v>Headphones</c:v>
                </c:pt>
                <c:pt idx="3">
                  <c:v>Jeans</c:v>
                </c:pt>
                <c:pt idx="4">
                  <c:v>Sneakers</c:v>
                </c:pt>
                <c:pt idx="5">
                  <c:v>T-shirt</c:v>
                </c:pt>
                <c:pt idx="6">
                  <c:v>Watch</c:v>
                </c:pt>
              </c:strCache>
            </c:strRef>
          </c:cat>
          <c:val>
            <c:numRef>
              <c:f>Analysis!$L$25:$L$31</c:f>
              <c:numCache>
                <c:formatCode>General</c:formatCode>
                <c:ptCount val="7"/>
                <c:pt idx="0">
                  <c:v>13078.384499999969</c:v>
                </c:pt>
                <c:pt idx="1">
                  <c:v>15315.539499999999</c:v>
                </c:pt>
                <c:pt idx="2">
                  <c:v>15625.957499999982</c:v>
                </c:pt>
                <c:pt idx="3">
                  <c:v>14055.838999999987</c:v>
                </c:pt>
                <c:pt idx="4">
                  <c:v>14853.969499999994</c:v>
                </c:pt>
                <c:pt idx="5">
                  <c:v>17605.211499999965</c:v>
                </c:pt>
                <c:pt idx="6">
                  <c:v>8528.8719999999776</c:v>
                </c:pt>
              </c:numCache>
            </c:numRef>
          </c:val>
          <c:extLst>
            <c:ext xmlns:c16="http://schemas.microsoft.com/office/drawing/2014/chart" uri="{C3380CC4-5D6E-409C-BE32-E72D297353CC}">
              <c16:uniqueId val="{00000001-5A1D-4750-AD83-77CEE8245302}"/>
            </c:ext>
          </c:extLst>
        </c:ser>
        <c:dLbls>
          <c:showLegendKey val="0"/>
          <c:showVal val="0"/>
          <c:showCatName val="0"/>
          <c:showSerName val="0"/>
          <c:showPercent val="0"/>
          <c:showBubbleSize val="0"/>
        </c:dLbls>
        <c:gapWidth val="182"/>
        <c:axId val="435521487"/>
        <c:axId val="435511407"/>
      </c:barChart>
      <c:catAx>
        <c:axId val="43552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D3436"/>
                </a:solidFill>
                <a:latin typeface="+mn-lt"/>
                <a:ea typeface="+mn-ea"/>
                <a:cs typeface="+mn-cs"/>
              </a:defRPr>
            </a:pPr>
            <a:endParaRPr lang="en-US"/>
          </a:p>
        </c:txPr>
        <c:crossAx val="435511407"/>
        <c:crosses val="autoZero"/>
        <c:auto val="1"/>
        <c:lblAlgn val="ctr"/>
        <c:lblOffset val="100"/>
        <c:noMultiLvlLbl val="0"/>
      </c:catAx>
      <c:valAx>
        <c:axId val="435511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D3436"/>
                </a:solidFill>
                <a:latin typeface="+mn-lt"/>
                <a:ea typeface="+mn-ea"/>
                <a:cs typeface="+mn-cs"/>
              </a:defRPr>
            </a:pPr>
            <a:endParaRPr lang="en-US"/>
          </a:p>
        </c:txPr>
        <c:crossAx val="43552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9525</xdr:rowOff>
    </xdr:from>
    <xdr:to>
      <xdr:col>20</xdr:col>
      <xdr:colOff>1</xdr:colOff>
      <xdr:row>5</xdr:row>
      <xdr:rowOff>0</xdr:rowOff>
    </xdr:to>
    <xdr:sp macro="" textlink="">
      <xdr:nvSpPr>
        <xdr:cNvPr id="2" name="TextBox 1">
          <a:extLst>
            <a:ext uri="{FF2B5EF4-FFF2-40B4-BE49-F238E27FC236}">
              <a16:creationId xmlns:a16="http://schemas.microsoft.com/office/drawing/2014/main" id="{BC3A2335-9A9F-B8C8-80A6-819894108AF2}"/>
            </a:ext>
          </a:extLst>
        </xdr:cNvPr>
        <xdr:cNvSpPr txBox="1"/>
      </xdr:nvSpPr>
      <xdr:spPr>
        <a:xfrm>
          <a:off x="119064" y="69056"/>
          <a:ext cx="11049000" cy="752475"/>
        </a:xfrm>
        <a:prstGeom prst="rect">
          <a:avLst/>
        </a:prstGeom>
        <a:solidFill>
          <a:srgbClr val="2D3436"/>
        </a:solidFill>
        <a:ln w="9525" cmpd="sng">
          <a:solidFill>
            <a:srgbClr val="2D343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Times New Roman" panose="02020603050405020304" pitchFamily="18" charset="0"/>
              <a:cs typeface="Times New Roman" panose="02020603050405020304" pitchFamily="18" charset="0"/>
            </a:rPr>
            <a:t>Retail Sales &amp; Profit Analysis</a:t>
          </a:r>
        </a:p>
        <a:p>
          <a:pPr algn="ctr"/>
          <a:r>
            <a:rPr lang="en-IN" sz="1200">
              <a:solidFill>
                <a:schemeClr val="bg1">
                  <a:lumMod val="85000"/>
                </a:schemeClr>
              </a:solidFill>
            </a:rPr>
            <a:t>Khyati Walia | Tech Minds Project | May 2026</a:t>
          </a:r>
          <a:endParaRPr lang="en-IN" sz="1200">
            <a:solidFill>
              <a:schemeClr val="bg1">
                <a:lumMod val="8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0</xdr:colOff>
      <xdr:row>11</xdr:row>
      <xdr:rowOff>35719</xdr:rowOff>
    </xdr:from>
    <xdr:to>
      <xdr:col>26</xdr:col>
      <xdr:colOff>0</xdr:colOff>
      <xdr:row>17</xdr:row>
      <xdr:rowOff>178594</xdr:rowOff>
    </xdr:to>
    <xdr:sp macro="" textlink="Analysis!$H$2">
      <xdr:nvSpPr>
        <xdr:cNvPr id="3" name="Rectangle: Rounded Corners 2">
          <a:extLst>
            <a:ext uri="{FF2B5EF4-FFF2-40B4-BE49-F238E27FC236}">
              <a16:creationId xmlns:a16="http://schemas.microsoft.com/office/drawing/2014/main" id="{CCEB612E-3ED9-A822-72B0-CF7AD35E0891}"/>
            </a:ext>
          </a:extLst>
        </xdr:cNvPr>
        <xdr:cNvSpPr/>
      </xdr:nvSpPr>
      <xdr:spPr>
        <a:xfrm>
          <a:off x="11287125" y="1869282"/>
          <a:ext cx="3048000" cy="1154906"/>
        </a:xfrm>
        <a:prstGeom prst="roundRect">
          <a:avLst/>
        </a:prstGeom>
        <a:solidFill>
          <a:schemeClr val="bg1"/>
        </a:solidFill>
        <a:ln>
          <a:solidFill>
            <a:srgbClr val="2D343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F6A0CD77-D810-42C8-AE90-F9A126EB0FA0}" type="TxLink">
            <a:rPr lang="en-US" sz="2400" b="1" i="0" u="none" strike="noStrike" baseline="0">
              <a:solidFill>
                <a:srgbClr val="2D3436"/>
              </a:solidFill>
              <a:latin typeface="Calibri"/>
              <a:cs typeface="Calibri"/>
            </a:rPr>
            <a:t>2,94,348</a:t>
          </a:fld>
          <a:endParaRPr lang="en-US" sz="2400" b="1" i="0" u="none" strike="noStrike" baseline="0">
            <a:solidFill>
              <a:srgbClr val="2D3436"/>
            </a:solidFill>
            <a:latin typeface="Calibri"/>
            <a:cs typeface="Calibri"/>
          </a:endParaRPr>
        </a:p>
      </xdr:txBody>
    </xdr:sp>
    <xdr:clientData/>
  </xdr:twoCellAnchor>
  <xdr:twoCellAnchor>
    <xdr:from>
      <xdr:col>21</xdr:col>
      <xdr:colOff>11906</xdr:colOff>
      <xdr:row>18</xdr:row>
      <xdr:rowOff>11443</xdr:rowOff>
    </xdr:from>
    <xdr:to>
      <xdr:col>26</xdr:col>
      <xdr:colOff>0</xdr:colOff>
      <xdr:row>24</xdr:row>
      <xdr:rowOff>118598</xdr:rowOff>
    </xdr:to>
    <xdr:sp macro="" textlink="Analysis!$H$3">
      <xdr:nvSpPr>
        <xdr:cNvPr id="14" name="Rectangle: Rounded Corners 13">
          <a:extLst>
            <a:ext uri="{FF2B5EF4-FFF2-40B4-BE49-F238E27FC236}">
              <a16:creationId xmlns:a16="http://schemas.microsoft.com/office/drawing/2014/main" id="{AE1EAF66-118C-4CB8-9EEF-BD82C9930BCE}"/>
            </a:ext>
          </a:extLst>
        </xdr:cNvPr>
        <xdr:cNvSpPr/>
      </xdr:nvSpPr>
      <xdr:spPr>
        <a:xfrm>
          <a:off x="11332002" y="3125385"/>
          <a:ext cx="3053190" cy="1181771"/>
        </a:xfrm>
        <a:prstGeom prst="roundRect">
          <a:avLst/>
        </a:prstGeom>
        <a:solidFill>
          <a:schemeClr val="bg1"/>
        </a:solidFill>
        <a:ln>
          <a:solidFill>
            <a:srgbClr val="2D343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fld id="{FED28DF3-B540-47D9-B5F8-CBF3385B0C1D}" type="TxLink">
            <a:rPr lang="en-US" sz="2400" b="1" i="0" u="none" strike="noStrike">
              <a:solidFill>
                <a:srgbClr val="27AE60"/>
              </a:solidFill>
              <a:latin typeface="Calibri"/>
              <a:cs typeface="Calibri"/>
            </a:rPr>
            <a:t>99,064</a:t>
          </a:fld>
          <a:endParaRPr lang="en-US" sz="2400" b="1" i="0" u="none" strike="noStrike">
            <a:solidFill>
              <a:srgbClr val="27AE60"/>
            </a:solidFill>
            <a:latin typeface="Calibri"/>
            <a:cs typeface="Calibri"/>
          </a:endParaRPr>
        </a:p>
      </xdr:txBody>
    </xdr:sp>
    <xdr:clientData/>
  </xdr:twoCellAnchor>
  <xdr:twoCellAnchor>
    <xdr:from>
      <xdr:col>21</xdr:col>
      <xdr:colOff>48089</xdr:colOff>
      <xdr:row>24</xdr:row>
      <xdr:rowOff>154318</xdr:rowOff>
    </xdr:from>
    <xdr:to>
      <xdr:col>26</xdr:col>
      <xdr:colOff>12370</xdr:colOff>
      <xdr:row>30</xdr:row>
      <xdr:rowOff>173182</xdr:rowOff>
    </xdr:to>
    <xdr:sp macro="" textlink="Analysis!$U$2">
      <xdr:nvSpPr>
        <xdr:cNvPr id="15" name="Rectangle: Rounded Corners 14">
          <a:extLst>
            <a:ext uri="{FF2B5EF4-FFF2-40B4-BE49-F238E27FC236}">
              <a16:creationId xmlns:a16="http://schemas.microsoft.com/office/drawing/2014/main" id="{70F5B2A3-CEC1-4EC7-AFFF-288BBCA4F7D6}"/>
            </a:ext>
          </a:extLst>
        </xdr:cNvPr>
        <xdr:cNvSpPr/>
      </xdr:nvSpPr>
      <xdr:spPr>
        <a:xfrm>
          <a:off x="11292537" y="4149870"/>
          <a:ext cx="3007333" cy="1132176"/>
        </a:xfrm>
        <a:prstGeom prst="roundRect">
          <a:avLst/>
        </a:prstGeom>
        <a:solidFill>
          <a:schemeClr val="bg1"/>
        </a:solidFill>
        <a:ln>
          <a:solidFill>
            <a:srgbClr val="2D343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fld id="{3BDAD7DE-7BB1-45B7-A558-57F74B1484C8}" type="TxLink">
            <a:rPr lang="en-US" sz="2400" b="1" i="0" u="none" strike="noStrike">
              <a:solidFill>
                <a:srgbClr val="2D3436"/>
              </a:solidFill>
              <a:latin typeface="Calibri"/>
              <a:cs typeface="Calibri"/>
            </a:rPr>
            <a:pPr algn="ctr" eaLnBrk="1" fontAlgn="auto" latinLnBrk="0" hangingPunct="1"/>
            <a:t>500</a:t>
          </a:fld>
          <a:endParaRPr lang="en-US" sz="2400" b="1" i="0" u="none" strike="noStrike">
            <a:solidFill>
              <a:srgbClr val="2D3436"/>
            </a:solidFill>
            <a:latin typeface="Calibri"/>
            <a:cs typeface="Calibri"/>
          </a:endParaRPr>
        </a:p>
      </xdr:txBody>
    </xdr:sp>
    <xdr:clientData/>
  </xdr:twoCellAnchor>
  <xdr:twoCellAnchor>
    <xdr:from>
      <xdr:col>21</xdr:col>
      <xdr:colOff>47625</xdr:colOff>
      <xdr:row>31</xdr:row>
      <xdr:rowOff>23349</xdr:rowOff>
    </xdr:from>
    <xdr:to>
      <xdr:col>26</xdr:col>
      <xdr:colOff>47625</xdr:colOff>
      <xdr:row>37</xdr:row>
      <xdr:rowOff>23349</xdr:rowOff>
    </xdr:to>
    <xdr:sp macro="" textlink="Analysis!$O$16">
      <xdr:nvSpPr>
        <xdr:cNvPr id="16" name="Rectangle: Rounded Corners 15">
          <a:extLst>
            <a:ext uri="{FF2B5EF4-FFF2-40B4-BE49-F238E27FC236}">
              <a16:creationId xmlns:a16="http://schemas.microsoft.com/office/drawing/2014/main" id="{369C9C85-F087-4AC6-BFE9-DAFA3FB0C53B}"/>
            </a:ext>
          </a:extLst>
        </xdr:cNvPr>
        <xdr:cNvSpPr/>
      </xdr:nvSpPr>
      <xdr:spPr>
        <a:xfrm>
          <a:off x="11334750" y="5440693"/>
          <a:ext cx="3048000" cy="1143000"/>
        </a:xfrm>
        <a:prstGeom prst="roundRect">
          <a:avLst/>
        </a:prstGeom>
        <a:solidFill>
          <a:schemeClr val="bg1"/>
        </a:solidFill>
        <a:ln>
          <a:solidFill>
            <a:srgbClr val="2D343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fld id="{FF954AC8-F6B6-4026-A4EF-1DAFD24CD222}" type="TxLink">
            <a:rPr lang="en-US" sz="2400" b="1" i="0" u="none" strike="noStrike">
              <a:solidFill>
                <a:srgbClr val="2D3436"/>
              </a:solidFill>
              <a:latin typeface="Calibri"/>
              <a:cs typeface="Calibri"/>
            </a:rPr>
            <a:t>2467</a:t>
          </a:fld>
          <a:endParaRPr lang="en-IN" sz="2400" b="1" i="1">
            <a:solidFill>
              <a:srgbClr val="2D3436"/>
            </a:solidFill>
          </a:endParaRPr>
        </a:p>
      </xdr:txBody>
    </xdr:sp>
    <xdr:clientData/>
  </xdr:twoCellAnchor>
  <xdr:twoCellAnchor>
    <xdr:from>
      <xdr:col>1</xdr:col>
      <xdr:colOff>0</xdr:colOff>
      <xdr:row>6</xdr:row>
      <xdr:rowOff>0</xdr:rowOff>
    </xdr:from>
    <xdr:to>
      <xdr:col>10</xdr:col>
      <xdr:colOff>0</xdr:colOff>
      <xdr:row>21</xdr:row>
      <xdr:rowOff>0</xdr:rowOff>
    </xdr:to>
    <xdr:graphicFrame macro="">
      <xdr:nvGraphicFramePr>
        <xdr:cNvPr id="4" name="Chart 3">
          <a:extLst>
            <a:ext uri="{FF2B5EF4-FFF2-40B4-BE49-F238E27FC236}">
              <a16:creationId xmlns:a16="http://schemas.microsoft.com/office/drawing/2014/main" id="{BBE7286D-277C-40F0-875E-0A7BA6FDC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6</xdr:row>
      <xdr:rowOff>0</xdr:rowOff>
    </xdr:from>
    <xdr:to>
      <xdr:col>19</xdr:col>
      <xdr:colOff>607219</xdr:colOff>
      <xdr:row>21</xdr:row>
      <xdr:rowOff>0</xdr:rowOff>
    </xdr:to>
    <xdr:graphicFrame macro="">
      <xdr:nvGraphicFramePr>
        <xdr:cNvPr id="5" name="Chart 4">
          <a:extLst>
            <a:ext uri="{FF2B5EF4-FFF2-40B4-BE49-F238E27FC236}">
              <a16:creationId xmlns:a16="http://schemas.microsoft.com/office/drawing/2014/main" id="{BE026DCE-E434-44D8-BE34-2166850B2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10</xdr:col>
      <xdr:colOff>0</xdr:colOff>
      <xdr:row>37</xdr:row>
      <xdr:rowOff>0</xdr:rowOff>
    </xdr:to>
    <xdr:graphicFrame macro="">
      <xdr:nvGraphicFramePr>
        <xdr:cNvPr id="6" name="Chart 5">
          <a:extLst>
            <a:ext uri="{FF2B5EF4-FFF2-40B4-BE49-F238E27FC236}">
              <a16:creationId xmlns:a16="http://schemas.microsoft.com/office/drawing/2014/main" id="{1B24A4E3-5C0D-425C-AD14-6E447E88E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22</xdr:row>
      <xdr:rowOff>0</xdr:rowOff>
    </xdr:from>
    <xdr:to>
      <xdr:col>20</xdr:col>
      <xdr:colOff>0</xdr:colOff>
      <xdr:row>37</xdr:row>
      <xdr:rowOff>0</xdr:rowOff>
    </xdr:to>
    <xdr:graphicFrame macro="">
      <xdr:nvGraphicFramePr>
        <xdr:cNvPr id="8" name="Chart 7">
          <a:extLst>
            <a:ext uri="{FF2B5EF4-FFF2-40B4-BE49-F238E27FC236}">
              <a16:creationId xmlns:a16="http://schemas.microsoft.com/office/drawing/2014/main" id="{87EBB2DC-B837-40C4-A8F0-293580A9D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0</xdr:colOff>
      <xdr:row>1</xdr:row>
      <xdr:rowOff>6517</xdr:rowOff>
    </xdr:from>
    <xdr:to>
      <xdr:col>26</xdr:col>
      <xdr:colOff>0</xdr:colOff>
      <xdr:row>5</xdr:row>
      <xdr:rowOff>0</xdr:rowOff>
    </xdr:to>
    <mc:AlternateContent xmlns:mc="http://schemas.openxmlformats.org/markup-compatibility/2006" xmlns:a14="http://schemas.microsoft.com/office/drawing/2010/main">
      <mc:Choice Requires="a14">
        <xdr:graphicFrame macro="">
          <xdr:nvGraphicFramePr>
            <xdr:cNvPr id="7" name="Channel">
              <a:extLst>
                <a:ext uri="{FF2B5EF4-FFF2-40B4-BE49-F238E27FC236}">
                  <a16:creationId xmlns:a16="http://schemas.microsoft.com/office/drawing/2014/main" id="{27D9C5F7-54A3-40FE-A6AF-3A9989D3EE6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287125" y="66048"/>
              <a:ext cx="3048000" cy="755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6</xdr:row>
      <xdr:rowOff>0</xdr:rowOff>
    </xdr:from>
    <xdr:to>
      <xdr:col>26</xdr:col>
      <xdr:colOff>0</xdr:colOff>
      <xdr:row>11</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7A0FE2A-874E-48A6-8195-1083F33F21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87125" y="881063"/>
              <a:ext cx="30480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190500</xdr:colOff>
      <xdr:row>12</xdr:row>
      <xdr:rowOff>83343</xdr:rowOff>
    </xdr:from>
    <xdr:to>
      <xdr:col>24</xdr:col>
      <xdr:colOff>523875</xdr:colOff>
      <xdr:row>13</xdr:row>
      <xdr:rowOff>166687</xdr:rowOff>
    </xdr:to>
    <xdr:sp macro="" textlink="">
      <xdr:nvSpPr>
        <xdr:cNvPr id="10" name="TextBox 9">
          <a:extLst>
            <a:ext uri="{FF2B5EF4-FFF2-40B4-BE49-F238E27FC236}">
              <a16:creationId xmlns:a16="http://schemas.microsoft.com/office/drawing/2014/main" id="{EEEE5130-ED4B-6560-86B3-5D5E22CC30F0}"/>
            </a:ext>
          </a:extLst>
        </xdr:cNvPr>
        <xdr:cNvSpPr txBox="1"/>
      </xdr:nvSpPr>
      <xdr:spPr>
        <a:xfrm>
          <a:off x="12084844" y="1976437"/>
          <a:ext cx="1547812"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baseline="0">
              <a:solidFill>
                <a:srgbClr val="636E72"/>
              </a:solidFill>
              <a:effectLst/>
              <a:latin typeface="+mn-lt"/>
              <a:ea typeface="+mn-ea"/>
              <a:cs typeface="+mn-cs"/>
            </a:rPr>
            <a:t>TOTAL REVENUE</a:t>
          </a:r>
          <a:endParaRPr lang="en-IN" sz="1100">
            <a:solidFill>
              <a:srgbClr val="636E72"/>
            </a:solidFill>
          </a:endParaRPr>
        </a:p>
      </xdr:txBody>
    </xdr:sp>
    <xdr:clientData/>
  </xdr:twoCellAnchor>
  <xdr:twoCellAnchor>
    <xdr:from>
      <xdr:col>22</xdr:col>
      <xdr:colOff>200025</xdr:colOff>
      <xdr:row>15</xdr:row>
      <xdr:rowOff>140493</xdr:rowOff>
    </xdr:from>
    <xdr:to>
      <xdr:col>24</xdr:col>
      <xdr:colOff>533400</xdr:colOff>
      <xdr:row>17</xdr:row>
      <xdr:rowOff>33337</xdr:rowOff>
    </xdr:to>
    <xdr:sp macro="" textlink="">
      <xdr:nvSpPr>
        <xdr:cNvPr id="11" name="TextBox 10">
          <a:extLst>
            <a:ext uri="{FF2B5EF4-FFF2-40B4-BE49-F238E27FC236}">
              <a16:creationId xmlns:a16="http://schemas.microsoft.com/office/drawing/2014/main" id="{AEA88AD9-85F6-49C4-8E3B-41E780206E3C}"/>
            </a:ext>
          </a:extLst>
        </xdr:cNvPr>
        <xdr:cNvSpPr txBox="1"/>
      </xdr:nvSpPr>
      <xdr:spPr>
        <a:xfrm>
          <a:off x="12094369" y="2605087"/>
          <a:ext cx="1547812"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1" baseline="0">
              <a:solidFill>
                <a:srgbClr val="636E72"/>
              </a:solidFill>
              <a:effectLst/>
              <a:latin typeface="+mn-lt"/>
              <a:ea typeface="+mn-ea"/>
              <a:cs typeface="+mn-cs"/>
            </a:rPr>
            <a:t>Net Revenue Earned</a:t>
          </a:r>
          <a:endParaRPr lang="en-IN" sz="1200">
            <a:solidFill>
              <a:srgbClr val="636E72"/>
            </a:solidFill>
            <a:effectLst/>
          </a:endParaRPr>
        </a:p>
        <a:p>
          <a:endParaRPr lang="en-IN" sz="1100">
            <a:solidFill>
              <a:srgbClr val="636E72"/>
            </a:solidFill>
          </a:endParaRPr>
        </a:p>
      </xdr:txBody>
    </xdr:sp>
    <xdr:clientData/>
  </xdr:twoCellAnchor>
  <xdr:twoCellAnchor>
    <xdr:from>
      <xdr:col>22</xdr:col>
      <xdr:colOff>294907</xdr:colOff>
      <xdr:row>18</xdr:row>
      <xdr:rowOff>160729</xdr:rowOff>
    </xdr:from>
    <xdr:to>
      <xdr:col>25</xdr:col>
      <xdr:colOff>21063</xdr:colOff>
      <xdr:row>20</xdr:row>
      <xdr:rowOff>53573</xdr:rowOff>
    </xdr:to>
    <xdr:sp macro="" textlink="">
      <xdr:nvSpPr>
        <xdr:cNvPr id="12" name="TextBox 11">
          <a:extLst>
            <a:ext uri="{FF2B5EF4-FFF2-40B4-BE49-F238E27FC236}">
              <a16:creationId xmlns:a16="http://schemas.microsoft.com/office/drawing/2014/main" id="{9E91911B-3668-44C0-A31A-8500A219593E}"/>
            </a:ext>
          </a:extLst>
        </xdr:cNvPr>
        <xdr:cNvSpPr txBox="1"/>
      </xdr:nvSpPr>
      <xdr:spPr>
        <a:xfrm>
          <a:off x="12189251" y="3196823"/>
          <a:ext cx="1547812"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0">
              <a:solidFill>
                <a:srgbClr val="636E72"/>
              </a:solidFill>
              <a:effectLst/>
              <a:latin typeface="+mn-lt"/>
              <a:ea typeface="+mn-ea"/>
              <a:cs typeface="+mn-cs"/>
            </a:rPr>
            <a:t>TOTAL PROFIT</a:t>
          </a:r>
          <a:endParaRPr lang="en-IN">
            <a:solidFill>
              <a:srgbClr val="636E72"/>
            </a:solidFill>
            <a:effectLst/>
          </a:endParaRPr>
        </a:p>
        <a:p>
          <a:endParaRPr lang="en-IN" sz="1100">
            <a:solidFill>
              <a:srgbClr val="636E72"/>
            </a:solidFill>
          </a:endParaRPr>
        </a:p>
      </xdr:txBody>
    </xdr:sp>
    <xdr:clientData/>
  </xdr:twoCellAnchor>
  <xdr:twoCellAnchor>
    <xdr:from>
      <xdr:col>22</xdr:col>
      <xdr:colOff>244902</xdr:colOff>
      <xdr:row>22</xdr:row>
      <xdr:rowOff>86911</xdr:rowOff>
    </xdr:from>
    <xdr:to>
      <xdr:col>24</xdr:col>
      <xdr:colOff>578277</xdr:colOff>
      <xdr:row>23</xdr:row>
      <xdr:rowOff>170255</xdr:rowOff>
    </xdr:to>
    <xdr:sp macro="" textlink="">
      <xdr:nvSpPr>
        <xdr:cNvPr id="13" name="TextBox 12">
          <a:extLst>
            <a:ext uri="{FF2B5EF4-FFF2-40B4-BE49-F238E27FC236}">
              <a16:creationId xmlns:a16="http://schemas.microsoft.com/office/drawing/2014/main" id="{63584517-8720-4A1C-876E-92B02EAE0450}"/>
            </a:ext>
          </a:extLst>
        </xdr:cNvPr>
        <xdr:cNvSpPr txBox="1"/>
      </xdr:nvSpPr>
      <xdr:spPr>
        <a:xfrm>
          <a:off x="12139246" y="3789755"/>
          <a:ext cx="1547812"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1" baseline="0">
              <a:solidFill>
                <a:srgbClr val="636E72"/>
              </a:solidFill>
              <a:effectLst/>
              <a:latin typeface="+mn-lt"/>
              <a:ea typeface="+mn-ea"/>
              <a:cs typeface="+mn-cs"/>
            </a:rPr>
            <a:t>Total Profit Earned</a:t>
          </a:r>
          <a:endParaRPr lang="en-IN" sz="1200" i="1">
            <a:solidFill>
              <a:srgbClr val="636E72"/>
            </a:solidFill>
            <a:effectLst/>
          </a:endParaRPr>
        </a:p>
        <a:p>
          <a:endParaRPr lang="en-IN" sz="1100">
            <a:solidFill>
              <a:srgbClr val="636E72"/>
            </a:solidFill>
          </a:endParaRPr>
        </a:p>
      </xdr:txBody>
    </xdr:sp>
    <xdr:clientData/>
  </xdr:twoCellAnchor>
  <xdr:twoCellAnchor>
    <xdr:from>
      <xdr:col>22</xdr:col>
      <xdr:colOff>326880</xdr:colOff>
      <xdr:row>25</xdr:row>
      <xdr:rowOff>113651</xdr:rowOff>
    </xdr:from>
    <xdr:to>
      <xdr:col>25</xdr:col>
      <xdr:colOff>53036</xdr:colOff>
      <xdr:row>27</xdr:row>
      <xdr:rowOff>6495</xdr:rowOff>
    </xdr:to>
    <xdr:sp macro="" textlink="">
      <xdr:nvSpPr>
        <xdr:cNvPr id="17" name="TextBox 16">
          <a:extLst>
            <a:ext uri="{FF2B5EF4-FFF2-40B4-BE49-F238E27FC236}">
              <a16:creationId xmlns:a16="http://schemas.microsoft.com/office/drawing/2014/main" id="{ABF62226-5ED1-44E0-BA21-FBABCC0DA6A5}"/>
            </a:ext>
          </a:extLst>
        </xdr:cNvPr>
        <xdr:cNvSpPr txBox="1"/>
      </xdr:nvSpPr>
      <xdr:spPr>
        <a:xfrm>
          <a:off x="12221224" y="4387995"/>
          <a:ext cx="1547812"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0">
              <a:solidFill>
                <a:srgbClr val="636E72"/>
              </a:solidFill>
              <a:effectLst/>
              <a:latin typeface="+mn-lt"/>
              <a:ea typeface="+mn-ea"/>
              <a:cs typeface="+mn-cs"/>
            </a:rPr>
            <a:t>TOTAL ORDERS</a:t>
          </a:r>
          <a:endParaRPr lang="en-IN">
            <a:solidFill>
              <a:srgbClr val="636E72"/>
            </a:solidFill>
            <a:effectLst/>
          </a:endParaRPr>
        </a:p>
        <a:p>
          <a:endParaRPr lang="en-IN" sz="1100">
            <a:solidFill>
              <a:srgbClr val="636E72"/>
            </a:solidFill>
          </a:endParaRPr>
        </a:p>
      </xdr:txBody>
    </xdr:sp>
    <xdr:clientData/>
  </xdr:twoCellAnchor>
  <xdr:twoCellAnchor>
    <xdr:from>
      <xdr:col>22</xdr:col>
      <xdr:colOff>193529</xdr:colOff>
      <xdr:row>28</xdr:row>
      <xdr:rowOff>130968</xdr:rowOff>
    </xdr:from>
    <xdr:to>
      <xdr:col>25</xdr:col>
      <xdr:colOff>11906</xdr:colOff>
      <xdr:row>30</xdr:row>
      <xdr:rowOff>51738</xdr:rowOff>
    </xdr:to>
    <xdr:sp macro="" textlink="">
      <xdr:nvSpPr>
        <xdr:cNvPr id="18" name="TextBox 17">
          <a:extLst>
            <a:ext uri="{FF2B5EF4-FFF2-40B4-BE49-F238E27FC236}">
              <a16:creationId xmlns:a16="http://schemas.microsoft.com/office/drawing/2014/main" id="{3C5F6FF0-A7CC-414E-8F5A-2CBED2536C99}"/>
            </a:ext>
          </a:extLst>
        </xdr:cNvPr>
        <xdr:cNvSpPr txBox="1"/>
      </xdr:nvSpPr>
      <xdr:spPr>
        <a:xfrm>
          <a:off x="12087873" y="4976812"/>
          <a:ext cx="1640033" cy="301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i="1">
              <a:solidFill>
                <a:srgbClr val="636E72"/>
              </a:solidFill>
              <a:effectLst/>
              <a:latin typeface="+mn-lt"/>
              <a:ea typeface="+mn-ea"/>
              <a:cs typeface="+mn-cs"/>
            </a:rPr>
            <a:t>Transactions Recorded</a:t>
          </a:r>
          <a:endParaRPr lang="en-IN" sz="1200">
            <a:solidFill>
              <a:srgbClr val="636E72"/>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a:solidFill>
              <a:srgbClr val="636E72"/>
            </a:solidFill>
            <a:effectLst/>
          </a:endParaRPr>
        </a:p>
        <a:p>
          <a:endParaRPr lang="en-IN" sz="1100">
            <a:solidFill>
              <a:srgbClr val="636E72"/>
            </a:solidFill>
          </a:endParaRPr>
        </a:p>
      </xdr:txBody>
    </xdr:sp>
    <xdr:clientData/>
  </xdr:twoCellAnchor>
  <xdr:twoCellAnchor>
    <xdr:from>
      <xdr:col>22</xdr:col>
      <xdr:colOff>419749</xdr:colOff>
      <xdr:row>31</xdr:row>
      <xdr:rowOff>158894</xdr:rowOff>
    </xdr:from>
    <xdr:to>
      <xdr:col>25</xdr:col>
      <xdr:colOff>145905</xdr:colOff>
      <xdr:row>33</xdr:row>
      <xdr:rowOff>51738</xdr:rowOff>
    </xdr:to>
    <xdr:sp macro="" textlink="">
      <xdr:nvSpPr>
        <xdr:cNvPr id="19" name="TextBox 18">
          <a:extLst>
            <a:ext uri="{FF2B5EF4-FFF2-40B4-BE49-F238E27FC236}">
              <a16:creationId xmlns:a16="http://schemas.microsoft.com/office/drawing/2014/main" id="{E3F2A245-1EB2-4912-A5E9-495478CEE005}"/>
            </a:ext>
          </a:extLst>
        </xdr:cNvPr>
        <xdr:cNvSpPr txBox="1"/>
      </xdr:nvSpPr>
      <xdr:spPr>
        <a:xfrm>
          <a:off x="12314093" y="5576238"/>
          <a:ext cx="1547812"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a:solidFill>
                <a:srgbClr val="636E72"/>
              </a:solidFill>
              <a:effectLst/>
              <a:latin typeface="+mn-lt"/>
              <a:ea typeface="+mn-ea"/>
              <a:cs typeface="+mn-cs"/>
            </a:rPr>
            <a:t>UNITS SOLD</a:t>
          </a:r>
          <a:endParaRPr lang="en-IN" sz="1400" b="1">
            <a:solidFill>
              <a:srgbClr val="636E72"/>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a:solidFill>
              <a:srgbClr val="636E72"/>
            </a:solidFill>
            <a:effectLst/>
          </a:endParaRPr>
        </a:p>
        <a:p>
          <a:endParaRPr lang="en-IN" sz="1100">
            <a:solidFill>
              <a:srgbClr val="636E72"/>
            </a:solidFill>
          </a:endParaRPr>
        </a:p>
      </xdr:txBody>
    </xdr:sp>
    <xdr:clientData/>
  </xdr:twoCellAnchor>
  <xdr:twoCellAnchor>
    <xdr:from>
      <xdr:col>22</xdr:col>
      <xdr:colOff>393554</xdr:colOff>
      <xdr:row>35</xdr:row>
      <xdr:rowOff>1732</xdr:rowOff>
    </xdr:from>
    <xdr:to>
      <xdr:col>25</xdr:col>
      <xdr:colOff>119710</xdr:colOff>
      <xdr:row>36</xdr:row>
      <xdr:rowOff>85076</xdr:rowOff>
    </xdr:to>
    <xdr:sp macro="" textlink="">
      <xdr:nvSpPr>
        <xdr:cNvPr id="20" name="TextBox 19">
          <a:extLst>
            <a:ext uri="{FF2B5EF4-FFF2-40B4-BE49-F238E27FC236}">
              <a16:creationId xmlns:a16="http://schemas.microsoft.com/office/drawing/2014/main" id="{03724420-D825-4FD1-90E1-1F6B9B998790}"/>
            </a:ext>
          </a:extLst>
        </xdr:cNvPr>
        <xdr:cNvSpPr txBox="1"/>
      </xdr:nvSpPr>
      <xdr:spPr>
        <a:xfrm>
          <a:off x="12287898" y="6181076"/>
          <a:ext cx="1547812"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i="1">
              <a:solidFill>
                <a:srgbClr val="636E72"/>
              </a:solidFill>
              <a:effectLst/>
              <a:latin typeface="+mn-lt"/>
              <a:ea typeface="+mn-ea"/>
              <a:cs typeface="+mn-cs"/>
            </a:rPr>
            <a:t>Total Units Sold</a:t>
          </a:r>
          <a:endParaRPr lang="en-IN">
            <a:solidFill>
              <a:srgbClr val="636E72"/>
            </a:solidFill>
            <a:effectLst/>
          </a:endParaRPr>
        </a:p>
        <a:p>
          <a:endParaRPr lang="en-IN" sz="1100">
            <a:solidFill>
              <a:srgbClr val="636E7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4.55337465278" createdVersion="8" refreshedVersion="8" minRefreshableVersion="3" recordCount="500" xr:uid="{00000000-000A-0000-FFFF-FFFF0D000000}">
  <cacheSource type="worksheet">
    <worksheetSource ref="A1:Q501" sheet="Retail Sales &amp; Profit Analysis "/>
  </cacheSource>
  <cacheFields count="19">
    <cacheField name="Order_ID" numFmtId="0">
      <sharedItems containsSemiMixedTypes="0" containsString="0" containsNumber="1" containsInteger="1" minValue="10001" maxValue="10500" count="5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sharedItems>
    </cacheField>
    <cacheField name="Order_Date" numFmtId="14">
      <sharedItems containsSemiMixedTypes="0" containsNonDate="0" containsDate="1" containsString="0" minDate="2025-01-01T00:00:00" maxDate="2026-05-16T00:00:00" count="5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18"/>
    </cacheField>
    <cacheField name="Customer_ID" numFmtId="0">
      <sharedItems containsSemiMixedTypes="0" containsString="0" containsNumber="1" containsInteger="1" minValue="3001" maxValue="3999" count="398">
        <n v="3175"/>
        <n v="3196"/>
        <n v="3537"/>
        <n v="3502"/>
        <n v="3579"/>
        <n v="3211"/>
        <n v="3919"/>
        <n v="3615"/>
        <n v="3348"/>
        <n v="3185"/>
        <n v="3398"/>
        <n v="3535"/>
        <n v="3584"/>
        <n v="3345"/>
        <n v="3366"/>
        <n v="3554"/>
        <n v="3730"/>
        <n v="3904"/>
        <n v="3167"/>
        <n v="3998"/>
        <n v="3068"/>
        <n v="3432"/>
        <n v="3895"/>
        <n v="3391"/>
        <n v="3940"/>
        <n v="3512"/>
        <n v="3075"/>
        <n v="3823"/>
        <n v="3250"/>
        <n v="3006"/>
        <n v="3787"/>
        <n v="3444"/>
        <n v="3044"/>
        <n v="3703"/>
        <n v="3325"/>
        <n v="3824"/>
        <n v="3152"/>
        <n v="3183"/>
        <n v="3949"/>
        <n v="3112"/>
        <n v="3763"/>
        <n v="3189"/>
        <n v="3960"/>
        <n v="3290"/>
        <n v="3312"/>
        <n v="3201"/>
        <n v="3462"/>
        <n v="3550"/>
        <n v="3772"/>
        <n v="3494"/>
        <n v="3137"/>
        <n v="3855"/>
        <n v="3483"/>
        <n v="3195"/>
        <n v="3072"/>
        <n v="3851"/>
        <n v="3944"/>
        <n v="3257"/>
        <n v="3704"/>
        <n v="3400"/>
        <n v="3374"/>
        <n v="3927"/>
        <n v="3349"/>
        <n v="3604"/>
        <n v="3764"/>
        <n v="3583"/>
        <n v="3279"/>
        <n v="3522"/>
        <n v="3745"/>
        <n v="3803"/>
        <n v="3448"/>
        <n v="3317"/>
        <n v="3151"/>
        <n v="3092"/>
        <n v="3759"/>
        <n v="3224"/>
        <n v="3661"/>
        <n v="3356"/>
        <n v="3931"/>
        <n v="3481"/>
        <n v="3891"/>
        <n v="3219"/>
        <n v="3019"/>
        <n v="3923"/>
        <n v="3516"/>
        <n v="3033"/>
        <n v="3123"/>
        <n v="3286"/>
        <n v="3697"/>
        <n v="3741"/>
        <n v="3841"/>
        <n v="3989"/>
        <n v="3977"/>
        <n v="3415"/>
        <n v="3130"/>
        <n v="3083"/>
        <n v="3946"/>
        <n v="3402"/>
        <n v="3021"/>
        <n v="3631"/>
        <n v="3203"/>
        <n v="3954"/>
        <n v="3047"/>
        <n v="3784"/>
        <n v="3524"/>
        <n v="3107"/>
        <n v="3393"/>
        <n v="3844"/>
        <n v="3835"/>
        <n v="3622"/>
        <n v="3654"/>
        <n v="3636"/>
        <n v="3276"/>
        <n v="3309"/>
        <n v="3911"/>
        <n v="3827"/>
        <n v="3035"/>
        <n v="3816"/>
        <n v="3260"/>
        <n v="3811"/>
        <n v="3456"/>
        <n v="3474"/>
        <n v="3762"/>
        <n v="3566"/>
        <n v="3555"/>
        <n v="3215"/>
        <n v="3973"/>
        <n v="3434"/>
        <n v="3039"/>
        <n v="3131"/>
        <n v="3413"/>
        <n v="3908"/>
        <n v="3460"/>
        <n v="3847"/>
        <n v="3797"/>
        <n v="3648"/>
        <n v="3678"/>
        <n v="3373"/>
        <n v="3710"/>
        <n v="3987"/>
        <n v="3647"/>
        <n v="3721"/>
        <n v="3495"/>
        <n v="3197"/>
        <n v="3100"/>
        <n v="3180"/>
        <n v="3169"/>
        <n v="3029"/>
        <n v="3282"/>
        <n v="3832"/>
        <n v="3190"/>
        <n v="3726"/>
        <n v="3738"/>
        <n v="3012"/>
        <n v="3646"/>
        <n v="3488"/>
        <n v="3930"/>
        <n v="3443"/>
        <n v="3106"/>
        <n v="3884"/>
        <n v="3497"/>
        <n v="3486"/>
        <n v="3234"/>
        <n v="3529"/>
        <n v="3005"/>
        <n v="3049"/>
        <n v="3438"/>
        <n v="3332"/>
        <n v="3617"/>
        <n v="3988"/>
        <n v="3182"/>
        <n v="3687"/>
        <n v="3421"/>
        <n v="3969"/>
        <n v="3599"/>
        <n v="3475"/>
        <n v="3588"/>
        <n v="3233"/>
        <n v="3331"/>
        <n v="3774"/>
        <n v="3888"/>
        <n v="3225"/>
        <n v="3469"/>
        <n v="3085"/>
        <n v="3670"/>
        <n v="3875"/>
        <n v="3476"/>
        <n v="3819"/>
        <n v="3247"/>
        <n v="3633"/>
        <n v="3076"/>
        <n v="3877"/>
        <n v="3932"/>
        <n v="3711"/>
        <n v="3698"/>
        <n v="3809"/>
        <n v="3230"/>
        <n v="3315"/>
        <n v="3850"/>
        <n v="3575"/>
        <n v="3924"/>
        <n v="3901"/>
        <n v="3589"/>
        <n v="3288"/>
        <n v="3629"/>
        <n v="3727"/>
        <n v="3991"/>
        <n v="3161"/>
        <n v="3045"/>
        <n v="3936"/>
        <n v="3628"/>
        <n v="3873"/>
        <n v="3042"/>
        <n v="3864"/>
        <n v="3095"/>
        <n v="3880"/>
        <n v="3914"/>
        <n v="3265"/>
        <n v="3269"/>
        <n v="3341"/>
        <n v="3939"/>
        <n v="3001"/>
        <n v="3287"/>
        <n v="3910"/>
        <n v="3208"/>
        <n v="3560"/>
        <n v="3665"/>
        <n v="3981"/>
        <n v="3979"/>
        <n v="3255"/>
        <n v="3338"/>
        <n v="3576"/>
        <n v="3461"/>
        <n v="3826"/>
        <n v="3266"/>
        <n v="3436"/>
        <n v="3506"/>
        <n v="3539"/>
        <n v="3156"/>
        <n v="3008"/>
        <n v="3612"/>
        <n v="3985"/>
        <n v="3428"/>
        <n v="3766"/>
        <n v="3947"/>
        <n v="3822"/>
        <n v="3298"/>
        <n v="3519"/>
        <n v="3753"/>
        <n v="3143"/>
        <n v="3640"/>
        <n v="3210"/>
        <n v="3231"/>
        <n v="3688"/>
        <n v="3521"/>
        <n v="3814"/>
        <n v="3440"/>
        <n v="3994"/>
        <n v="3176"/>
        <n v="3639"/>
        <n v="3427"/>
        <n v="3517"/>
        <n v="3917"/>
        <n v="3144"/>
        <n v="3011"/>
        <n v="3874"/>
        <n v="3160"/>
        <n v="3808"/>
        <n v="3548"/>
        <n v="3069"/>
        <n v="3363"/>
        <n v="3605"/>
        <n v="3829"/>
        <n v="3490"/>
        <n v="3735"/>
        <n v="3690"/>
        <n v="3846"/>
        <n v="3559"/>
        <n v="3638"/>
        <n v="3958"/>
        <n v="3105"/>
        <n v="3077"/>
        <n v="3536"/>
        <n v="3067"/>
        <n v="3903"/>
        <n v="3561"/>
        <n v="3416"/>
        <n v="3859"/>
        <n v="3607"/>
        <n v="3637"/>
        <n v="3573"/>
        <n v="3862"/>
        <n v="3078"/>
        <n v="3876"/>
        <n v="3369"/>
        <n v="3634"/>
        <n v="3410"/>
        <n v="3992"/>
        <n v="3380"/>
        <n v="3865"/>
        <n v="3520"/>
        <n v="3692"/>
        <n v="3606"/>
        <n v="3719"/>
        <n v="3406"/>
        <n v="3184"/>
        <n v="3181"/>
        <n v="3546"/>
        <n v="3780"/>
        <n v="3311"/>
        <n v="3433"/>
        <n v="3274"/>
        <n v="3121"/>
        <n v="3018"/>
        <n v="3965"/>
        <n v="3871"/>
        <n v="3645"/>
        <n v="3838"/>
        <n v="3479"/>
        <n v="3157"/>
        <n v="3938"/>
        <n v="3246"/>
        <n v="3942"/>
        <n v="3238"/>
        <n v="3102"/>
        <n v="3717"/>
        <n v="3450"/>
        <n v="3088"/>
        <n v="3091"/>
        <n v="3439"/>
        <n v="3016"/>
        <n v="3104"/>
        <n v="3073"/>
        <n v="3695"/>
        <n v="3295"/>
        <n v="3206"/>
        <n v="3966"/>
        <n v="3386"/>
        <n v="3549"/>
        <n v="3342"/>
        <n v="3241"/>
        <n v="3675"/>
        <n v="3527"/>
        <n v="3916"/>
        <n v="3672"/>
        <n v="3867"/>
        <n v="3198"/>
        <n v="3468"/>
        <n v="3896"/>
        <n v="3212"/>
        <n v="3545"/>
        <n v="3533"/>
        <n v="3834"/>
        <n v="3267"/>
        <n v="3303"/>
        <n v="3139"/>
        <n v="3036"/>
        <n v="3749"/>
        <n v="3683"/>
        <n v="3765"/>
        <n v="3821"/>
        <n v="3775"/>
        <n v="3405"/>
        <n v="3126"/>
        <n v="3275"/>
        <n v="3999"/>
        <n v="3854"/>
        <n v="3301"/>
        <n v="3227"/>
        <n v="3894"/>
        <n v="3849"/>
        <n v="3776"/>
        <n v="3970"/>
        <n v="3786"/>
        <n v="3593"/>
        <n v="3986"/>
        <n v="3103"/>
        <n v="3909"/>
        <n v="3268"/>
        <n v="3689"/>
        <n v="3226"/>
        <n v="3124"/>
        <n v="3608"/>
        <n v="3337"/>
        <n v="3715"/>
        <n v="3129"/>
        <n v="3805"/>
        <n v="3950"/>
        <n v="3496"/>
        <n v="3723"/>
        <n v="3178"/>
        <n v="3852"/>
        <n v="3194"/>
        <n v="3111"/>
        <n v="3136"/>
        <n v="3574"/>
        <n v="3084"/>
        <n v="3313"/>
      </sharedItems>
    </cacheField>
    <cacheField name="Region" numFmtId="0">
      <sharedItems count="4">
        <s v="West"/>
        <s v="North"/>
        <s v="East"/>
        <s v="South"/>
      </sharedItems>
    </cacheField>
    <cacheField name="Channel" numFmtId="0">
      <sharedItems count="2">
        <s v="In-Store"/>
        <s v="Online"/>
      </sharedItems>
    </cacheField>
    <cacheField name="Product_Category" numFmtId="0">
      <sharedItems count="4">
        <s v="Home"/>
        <s v="Accessories"/>
        <s v="Clothing"/>
        <s v="Electronics"/>
      </sharedItems>
    </cacheField>
    <cacheField name="Product_Name" numFmtId="0">
      <sharedItems count="7">
        <s v="Headphones"/>
        <s v="Watch"/>
        <s v="Blender"/>
        <s v="Sneakers"/>
        <s v="T-shirt"/>
        <s v="Jeans"/>
        <s v="Backpack"/>
      </sharedItems>
    </cacheField>
    <cacheField name="Quantity" numFmtId="0">
      <sharedItems containsSemiMixedTypes="0" containsString="0" containsNumber="1" containsInteger="1" minValue="1" maxValue="9" count="9">
        <n v="2"/>
        <n v="5"/>
        <n v="1"/>
        <n v="4"/>
        <n v="9"/>
        <n v="3"/>
        <n v="6"/>
        <n v="8"/>
        <n v="7"/>
      </sharedItems>
    </cacheField>
    <cacheField name="Unit_Price" numFmtId="0">
      <sharedItems containsSemiMixedTypes="0" containsString="0" containsNumber="1" minValue="10.02" maxValue="249.83"/>
    </cacheField>
    <cacheField name="Discount_Pct" numFmtId="0">
      <sharedItems containsSemiMixedTypes="0" containsString="0" containsNumber="1" containsInteger="1" minValue="0" maxValue="20" count="5">
        <n v="15"/>
        <n v="20"/>
        <n v="0"/>
        <n v="10"/>
        <n v="5"/>
      </sharedItems>
    </cacheField>
    <cacheField name="Gross_Revenue" numFmtId="0">
      <sharedItems containsSemiMixedTypes="0" containsString="0" containsNumber="1" minValue="16.010000000000002" maxValue="2235.7799999999902"/>
    </cacheField>
    <cacheField name="Discount_Amount" numFmtId="0">
      <sharedItems containsSemiMixedTypes="0" containsString="0" containsNumber="1" minValue="0" maxValue="447.15599999999898"/>
    </cacheField>
    <cacheField name="Net_Revenue" numFmtId="0">
      <sharedItems containsSemiMixedTypes="0" containsString="0" containsNumber="1" minValue="14.409000000000001" maxValue="2172.96"/>
    </cacheField>
    <cacheField name="Cost_per_Unit" numFmtId="0">
      <sharedItems containsSemiMixedTypes="0" containsString="0" containsNumber="1" minValue="5.69" maxValue="149.9"/>
    </cacheField>
    <cacheField name="Total_Cost" numFmtId="0">
      <sharedItems containsSemiMixedTypes="0" containsString="0" containsNumber="1" minValue="13.71" maxValue="1311.84"/>
    </cacheField>
    <cacheField name="Profit" numFmtId="0">
      <sharedItems containsSemiMixedTypes="0" containsString="0" containsNumber="1" minValue="-909.92" maxValue="1881.54"/>
    </cacheField>
    <cacheField name="Profit_Margin_Pct" numFmtId="0">
      <sharedItems containsSemiMixedTypes="0" containsString="0" containsNumber="1" minValue="-1172.8169222424899" maxValue="96.798064207534907"/>
    </cacheField>
    <cacheField name="Months (Order_Date)" numFmtId="0" databaseField="0">
      <fieldGroup base="1">
        <rangePr groupBy="months" startDate="2025-01-01T00:00:00" endDate="2026-05-16T00:00:00"/>
        <groupItems count="14">
          <s v="&lt;01-01-2025"/>
          <s v="Jan"/>
          <s v="Feb"/>
          <s v="Mar"/>
          <s v="Apr"/>
          <s v="May"/>
          <s v="Jun"/>
          <s v="Jul"/>
          <s v="Aug"/>
          <s v="Sep"/>
          <s v="Oct"/>
          <s v="Nov"/>
          <s v="Dec"/>
          <s v="&gt;16-05-2026"/>
        </groupItems>
      </fieldGroup>
    </cacheField>
    <cacheField name="Years (Order_Date)" numFmtId="0" databaseField="0">
      <fieldGroup base="1">
        <rangePr groupBy="years" startDate="2025-01-01T00:00:00" endDate="2026-05-16T00:00:00"/>
        <groupItems count="4">
          <s v="&lt;01-01-2025"/>
          <s v="2025"/>
          <s v="2026"/>
          <s v="&gt;16-05-2026"/>
        </groupItems>
      </fieldGroup>
    </cacheField>
  </cacheFields>
  <extLst>
    <ext xmlns:x14="http://schemas.microsoft.com/office/spreadsheetml/2009/9/main" uri="{725AE2AE-9491-48be-B2B4-4EB974FC3084}">
      <x14:pivotCacheDefinition pivotCacheId="2123603212"/>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x v="0"/>
    <x v="0"/>
    <x v="0"/>
    <n v="162.53"/>
    <x v="0"/>
    <n v="325.06"/>
    <n v="48.759"/>
    <n v="276.30099999999999"/>
    <n v="24.3"/>
    <n v="48.6"/>
    <n v="227.70099999999999"/>
    <n v="82.410487113691204"/>
  </r>
  <r>
    <x v="1"/>
    <x v="1"/>
    <x v="1"/>
    <x v="1"/>
    <x v="0"/>
    <x v="0"/>
    <x v="1"/>
    <x v="1"/>
    <n v="10.4"/>
    <x v="1"/>
    <n v="52"/>
    <n v="10.4"/>
    <n v="41.6"/>
    <n v="33.71"/>
    <n v="168.55"/>
    <n v="-126.95"/>
    <n v="-305.168269230769"/>
  </r>
  <r>
    <x v="2"/>
    <x v="2"/>
    <x v="2"/>
    <x v="2"/>
    <x v="1"/>
    <x v="1"/>
    <x v="1"/>
    <x v="2"/>
    <n v="211.65"/>
    <x v="2"/>
    <n v="211.65"/>
    <n v="0"/>
    <n v="211.65"/>
    <n v="109.14"/>
    <n v="109.14"/>
    <n v="102.51"/>
    <n v="48.433734939758999"/>
  </r>
  <r>
    <x v="3"/>
    <x v="3"/>
    <x v="3"/>
    <x v="1"/>
    <x v="0"/>
    <x v="2"/>
    <x v="2"/>
    <x v="3"/>
    <n v="63.72"/>
    <x v="3"/>
    <n v="254.88"/>
    <n v="25.488"/>
    <n v="229.392"/>
    <n v="82.99"/>
    <n v="331.96"/>
    <n v="-102.567999999999"/>
    <n v="-44.712980400362603"/>
  </r>
  <r>
    <x v="4"/>
    <x v="4"/>
    <x v="4"/>
    <x v="2"/>
    <x v="1"/>
    <x v="1"/>
    <x v="1"/>
    <x v="4"/>
    <n v="147.16"/>
    <x v="0"/>
    <n v="1324.44"/>
    <n v="198.666"/>
    <n v="1125.7739999999999"/>
    <n v="107.51"/>
    <n v="967.59"/>
    <n v="158.184"/>
    <n v="14.051132820619401"/>
  </r>
  <r>
    <x v="5"/>
    <x v="5"/>
    <x v="5"/>
    <x v="2"/>
    <x v="1"/>
    <x v="2"/>
    <x v="3"/>
    <x v="0"/>
    <n v="94.38"/>
    <x v="4"/>
    <n v="188.76"/>
    <n v="9.4380000000000006"/>
    <n v="179.322"/>
    <n v="91.88"/>
    <n v="183.76"/>
    <n v="-4.4379999999999802"/>
    <n v="-2.47487759449481"/>
  </r>
  <r>
    <x v="6"/>
    <x v="6"/>
    <x v="6"/>
    <x v="3"/>
    <x v="1"/>
    <x v="2"/>
    <x v="0"/>
    <x v="5"/>
    <n v="150.56"/>
    <x v="3"/>
    <n v="451.68"/>
    <n v="45.167999999999999"/>
    <n v="406.512"/>
    <n v="86.16"/>
    <n v="258.48"/>
    <n v="148.03199999999899"/>
    <n v="36.4151611760538"/>
  </r>
  <r>
    <x v="7"/>
    <x v="7"/>
    <x v="7"/>
    <x v="2"/>
    <x v="1"/>
    <x v="0"/>
    <x v="4"/>
    <x v="2"/>
    <n v="73.819999999999993"/>
    <x v="2"/>
    <n v="73.819999999999993"/>
    <n v="0"/>
    <n v="73.819999999999993"/>
    <n v="31.93"/>
    <n v="31.93"/>
    <n v="41.889999999999901"/>
    <n v="56.746139257653702"/>
  </r>
  <r>
    <x v="8"/>
    <x v="8"/>
    <x v="8"/>
    <x v="2"/>
    <x v="0"/>
    <x v="2"/>
    <x v="2"/>
    <x v="6"/>
    <n v="194.84"/>
    <x v="0"/>
    <n v="1169.04"/>
    <n v="175.35599999999999"/>
    <n v="993.68399999999997"/>
    <n v="129.72999999999999"/>
    <n v="778.37999999999897"/>
    <n v="215.304"/>
    <n v="21.667250353231001"/>
  </r>
  <r>
    <x v="9"/>
    <x v="9"/>
    <x v="9"/>
    <x v="1"/>
    <x v="1"/>
    <x v="0"/>
    <x v="5"/>
    <x v="7"/>
    <n v="187.47"/>
    <x v="4"/>
    <n v="1499.76"/>
    <n v="74.988"/>
    <n v="1424.7719999999999"/>
    <n v="117.06"/>
    <n v="936.48"/>
    <n v="488.29199999999901"/>
    <n v="34.2715887173526"/>
  </r>
  <r>
    <x v="10"/>
    <x v="10"/>
    <x v="10"/>
    <x v="0"/>
    <x v="1"/>
    <x v="1"/>
    <x v="4"/>
    <x v="6"/>
    <n v="184.63"/>
    <x v="1"/>
    <n v="1107.78"/>
    <n v="221.55600000000001"/>
    <n v="886.22399999999902"/>
    <n v="114.62"/>
    <n v="687.72"/>
    <n v="198.503999999999"/>
    <n v="22.398851757569101"/>
  </r>
  <r>
    <x v="11"/>
    <x v="11"/>
    <x v="11"/>
    <x v="3"/>
    <x v="1"/>
    <x v="1"/>
    <x v="5"/>
    <x v="5"/>
    <n v="55.41"/>
    <x v="0"/>
    <n v="166.23"/>
    <n v="24.9344999999999"/>
    <n v="141.2955"/>
    <n v="140.11000000000001"/>
    <n v="420.33"/>
    <n v="-279.03449999999998"/>
    <n v="-197.48293470068"/>
  </r>
  <r>
    <x v="12"/>
    <x v="12"/>
    <x v="12"/>
    <x v="1"/>
    <x v="0"/>
    <x v="1"/>
    <x v="6"/>
    <x v="0"/>
    <n v="19.73"/>
    <x v="1"/>
    <n v="39.46"/>
    <n v="7.8920000000000003"/>
    <n v="31.568000000000001"/>
    <n v="62.34"/>
    <n v="124.68"/>
    <n v="-93.111999999999995"/>
    <n v="-294.95691839837798"/>
  </r>
  <r>
    <x v="13"/>
    <x v="13"/>
    <x v="13"/>
    <x v="3"/>
    <x v="0"/>
    <x v="3"/>
    <x v="3"/>
    <x v="7"/>
    <n v="55.59"/>
    <x v="2"/>
    <n v="444.72"/>
    <n v="0"/>
    <n v="444.72"/>
    <n v="66.17"/>
    <n v="529.36"/>
    <n v="-84.639999999999901"/>
    <n v="-19.032200035977599"/>
  </r>
  <r>
    <x v="14"/>
    <x v="14"/>
    <x v="14"/>
    <x v="0"/>
    <x v="0"/>
    <x v="1"/>
    <x v="5"/>
    <x v="8"/>
    <n v="138.84"/>
    <x v="1"/>
    <n v="971.88"/>
    <n v="194.376"/>
    <n v="777.50400000000002"/>
    <n v="73.31"/>
    <n v="513.16999999999996"/>
    <n v="264.33399999999898"/>
    <n v="33.997767214059301"/>
  </r>
  <r>
    <x v="15"/>
    <x v="15"/>
    <x v="15"/>
    <x v="1"/>
    <x v="1"/>
    <x v="2"/>
    <x v="3"/>
    <x v="1"/>
    <n v="93.91"/>
    <x v="3"/>
    <n v="469.54999999999899"/>
    <n v="46.954999999999998"/>
    <n v="422.594999999999"/>
    <n v="55.71"/>
    <n v="278.55"/>
    <n v="144.04499999999899"/>
    <n v="34.085826855499903"/>
  </r>
  <r>
    <x v="16"/>
    <x v="16"/>
    <x v="16"/>
    <x v="3"/>
    <x v="1"/>
    <x v="3"/>
    <x v="5"/>
    <x v="8"/>
    <n v="148.75"/>
    <x v="0"/>
    <n v="1041.25"/>
    <n v="156.1875"/>
    <n v="885.0625"/>
    <n v="79.13"/>
    <n v="553.91"/>
    <n v="331.15249999999997"/>
    <n v="37.415719228867999"/>
  </r>
  <r>
    <x v="17"/>
    <x v="17"/>
    <x v="17"/>
    <x v="2"/>
    <x v="1"/>
    <x v="2"/>
    <x v="1"/>
    <x v="3"/>
    <n v="54.52"/>
    <x v="1"/>
    <n v="218.08"/>
    <n v="43.616"/>
    <n v="174.464"/>
    <n v="95.8"/>
    <n v="383.2"/>
    <n v="-208.73599999999999"/>
    <n v="-119.64416727806299"/>
  </r>
  <r>
    <x v="18"/>
    <x v="18"/>
    <x v="18"/>
    <x v="3"/>
    <x v="1"/>
    <x v="2"/>
    <x v="6"/>
    <x v="7"/>
    <n v="14.55"/>
    <x v="4"/>
    <n v="116.4"/>
    <n v="5.82"/>
    <n v="110.58"/>
    <n v="90.18"/>
    <n v="721.44"/>
    <n v="-610.86"/>
    <n v="-552.41454150841003"/>
  </r>
  <r>
    <x v="19"/>
    <x v="19"/>
    <x v="19"/>
    <x v="3"/>
    <x v="1"/>
    <x v="0"/>
    <x v="4"/>
    <x v="5"/>
    <n v="26.48"/>
    <x v="0"/>
    <n v="79.44"/>
    <n v="11.915999999999899"/>
    <n v="67.524000000000001"/>
    <n v="30.58"/>
    <n v="91.74"/>
    <n v="-24.215999999999902"/>
    <n v="-35.862804336235897"/>
  </r>
  <r>
    <x v="20"/>
    <x v="20"/>
    <x v="20"/>
    <x v="3"/>
    <x v="1"/>
    <x v="1"/>
    <x v="1"/>
    <x v="8"/>
    <n v="16.45"/>
    <x v="2"/>
    <n v="115.149999999999"/>
    <n v="0"/>
    <n v="115.149999999999"/>
    <n v="110.15"/>
    <n v="771.05"/>
    <n v="-655.9"/>
    <n v="-569.60486322188399"/>
  </r>
  <r>
    <x v="21"/>
    <x v="21"/>
    <x v="21"/>
    <x v="1"/>
    <x v="1"/>
    <x v="1"/>
    <x v="2"/>
    <x v="5"/>
    <n v="136.85"/>
    <x v="3"/>
    <n v="410.54999999999899"/>
    <n v="41.055"/>
    <n v="369.49499999999898"/>
    <n v="15.24"/>
    <n v="45.72"/>
    <n v="323.77499999999998"/>
    <n v="87.626354889781993"/>
  </r>
  <r>
    <x v="22"/>
    <x v="22"/>
    <x v="22"/>
    <x v="1"/>
    <x v="0"/>
    <x v="3"/>
    <x v="2"/>
    <x v="8"/>
    <n v="43.39"/>
    <x v="3"/>
    <n v="303.73"/>
    <n v="30.373000000000001"/>
    <n v="273.35700000000003"/>
    <n v="35.049999999999997"/>
    <n v="245.349999999999"/>
    <n v="28.007000000000001"/>
    <n v="10.245576297662"/>
  </r>
  <r>
    <x v="23"/>
    <x v="23"/>
    <x v="23"/>
    <x v="1"/>
    <x v="0"/>
    <x v="1"/>
    <x v="5"/>
    <x v="6"/>
    <n v="213.46"/>
    <x v="2"/>
    <n v="1280.76"/>
    <n v="0"/>
    <n v="1280.76"/>
    <n v="62.52"/>
    <n v="375.12"/>
    <n v="905.64"/>
    <n v="70.711140260470302"/>
  </r>
  <r>
    <x v="24"/>
    <x v="24"/>
    <x v="24"/>
    <x v="2"/>
    <x v="0"/>
    <x v="0"/>
    <x v="0"/>
    <x v="5"/>
    <n v="133.80000000000001"/>
    <x v="0"/>
    <n v="401.4"/>
    <n v="60.21"/>
    <n v="341.19"/>
    <n v="124.88"/>
    <n v="374.64"/>
    <n v="-33.449999999999903"/>
    <n v="-9.8039215686274304"/>
  </r>
  <r>
    <x v="25"/>
    <x v="25"/>
    <x v="25"/>
    <x v="1"/>
    <x v="1"/>
    <x v="2"/>
    <x v="2"/>
    <x v="1"/>
    <n v="124.51"/>
    <x v="2"/>
    <n v="622.54999999999995"/>
    <n v="0"/>
    <n v="622.54999999999995"/>
    <n v="41.55"/>
    <n v="207.75"/>
    <n v="414.8"/>
    <n v="66.62918641073"/>
  </r>
  <r>
    <x v="26"/>
    <x v="26"/>
    <x v="26"/>
    <x v="2"/>
    <x v="1"/>
    <x v="3"/>
    <x v="5"/>
    <x v="7"/>
    <n v="19.399999999999999"/>
    <x v="2"/>
    <n v="155.19999999999999"/>
    <n v="0"/>
    <n v="155.19999999999999"/>
    <n v="124.98"/>
    <n v="999.84"/>
    <n v="-844.64"/>
    <n v="-544.22680412371096"/>
  </r>
  <r>
    <x v="27"/>
    <x v="27"/>
    <x v="27"/>
    <x v="3"/>
    <x v="0"/>
    <x v="3"/>
    <x v="2"/>
    <x v="3"/>
    <n v="223.15"/>
    <x v="3"/>
    <n v="892.6"/>
    <n v="89.26"/>
    <n v="803.34"/>
    <n v="89.19"/>
    <n v="356.76"/>
    <n v="446.58"/>
    <n v="55.590410038090901"/>
  </r>
  <r>
    <x v="28"/>
    <x v="28"/>
    <x v="28"/>
    <x v="0"/>
    <x v="1"/>
    <x v="2"/>
    <x v="6"/>
    <x v="3"/>
    <n v="96.56"/>
    <x v="4"/>
    <n v="386.24"/>
    <n v="19.312000000000001"/>
    <n v="366.928"/>
    <n v="106.37"/>
    <n v="425.48"/>
    <n v="-58.552"/>
    <n v="-15.957354031308601"/>
  </r>
  <r>
    <x v="29"/>
    <x v="29"/>
    <x v="29"/>
    <x v="0"/>
    <x v="1"/>
    <x v="1"/>
    <x v="3"/>
    <x v="7"/>
    <n v="242.64"/>
    <x v="0"/>
    <n v="1941.12"/>
    <n v="291.16799999999898"/>
    <n v="1649.952"/>
    <n v="47.97"/>
    <n v="383.76"/>
    <n v="1266.192"/>
    <n v="76.741141560481694"/>
  </r>
  <r>
    <x v="30"/>
    <x v="30"/>
    <x v="30"/>
    <x v="0"/>
    <x v="1"/>
    <x v="3"/>
    <x v="4"/>
    <x v="8"/>
    <n v="67.45"/>
    <x v="2"/>
    <n v="472.15"/>
    <n v="0"/>
    <n v="472.15"/>
    <n v="145.80000000000001"/>
    <n v="1020.6"/>
    <n v="-548.45000000000005"/>
    <n v="-116.16011860637499"/>
  </r>
  <r>
    <x v="31"/>
    <x v="31"/>
    <x v="31"/>
    <x v="3"/>
    <x v="0"/>
    <x v="0"/>
    <x v="0"/>
    <x v="2"/>
    <n v="220.99"/>
    <x v="3"/>
    <n v="220.99"/>
    <n v="22.099"/>
    <n v="198.89099999999999"/>
    <n v="99.39"/>
    <n v="99.39"/>
    <n v="99.501000000000005"/>
    <n v="50.027904731737401"/>
  </r>
  <r>
    <x v="32"/>
    <x v="32"/>
    <x v="32"/>
    <x v="2"/>
    <x v="1"/>
    <x v="2"/>
    <x v="2"/>
    <x v="2"/>
    <n v="16.010000000000002"/>
    <x v="3"/>
    <n v="16.010000000000002"/>
    <n v="1.601"/>
    <n v="14.409000000000001"/>
    <n v="16.670000000000002"/>
    <n v="16.670000000000002"/>
    <n v="-2.2610000000000001"/>
    <n v="-15.691581650357399"/>
  </r>
  <r>
    <x v="33"/>
    <x v="33"/>
    <x v="33"/>
    <x v="2"/>
    <x v="0"/>
    <x v="0"/>
    <x v="0"/>
    <x v="7"/>
    <n v="150.65"/>
    <x v="3"/>
    <n v="1205.2"/>
    <n v="120.52"/>
    <n v="1084.68"/>
    <n v="121.92"/>
    <n v="975.36"/>
    <n v="109.32"/>
    <n v="10.078548512003501"/>
  </r>
  <r>
    <x v="34"/>
    <x v="34"/>
    <x v="34"/>
    <x v="2"/>
    <x v="0"/>
    <x v="1"/>
    <x v="2"/>
    <x v="5"/>
    <n v="64.239999999999995"/>
    <x v="0"/>
    <n v="192.719999999999"/>
    <n v="28.907999999999902"/>
    <n v="163.81199999999899"/>
    <n v="72.760000000000005"/>
    <n v="218.28"/>
    <n v="-54.468000000000004"/>
    <n v="-33.250311332503102"/>
  </r>
  <r>
    <x v="35"/>
    <x v="35"/>
    <x v="35"/>
    <x v="2"/>
    <x v="0"/>
    <x v="3"/>
    <x v="0"/>
    <x v="8"/>
    <n v="241.53"/>
    <x v="2"/>
    <n v="1690.71"/>
    <n v="0"/>
    <n v="1690.71"/>
    <n v="126.04"/>
    <n v="882.28"/>
    <n v="808.43"/>
    <n v="47.816006293214002"/>
  </r>
  <r>
    <x v="36"/>
    <x v="36"/>
    <x v="36"/>
    <x v="1"/>
    <x v="1"/>
    <x v="3"/>
    <x v="4"/>
    <x v="2"/>
    <n v="172.55"/>
    <x v="2"/>
    <n v="172.55"/>
    <n v="0"/>
    <n v="172.55"/>
    <n v="106.58"/>
    <n v="106.58"/>
    <n v="65.97"/>
    <n v="38.232396406838603"/>
  </r>
  <r>
    <x v="37"/>
    <x v="37"/>
    <x v="37"/>
    <x v="0"/>
    <x v="0"/>
    <x v="3"/>
    <x v="1"/>
    <x v="2"/>
    <n v="95.42"/>
    <x v="2"/>
    <n v="95.42"/>
    <n v="0"/>
    <n v="95.42"/>
    <n v="145.1"/>
    <n v="145.1"/>
    <n v="-49.6799999999999"/>
    <n v="-52.064556696709197"/>
  </r>
  <r>
    <x v="38"/>
    <x v="38"/>
    <x v="38"/>
    <x v="2"/>
    <x v="1"/>
    <x v="1"/>
    <x v="2"/>
    <x v="1"/>
    <n v="49.03"/>
    <x v="4"/>
    <n v="245.15"/>
    <n v="12.2575"/>
    <n v="232.89250000000001"/>
    <n v="136.83000000000001"/>
    <n v="684.15"/>
    <n v="-451.25749999999999"/>
    <n v="-193.762143478214"/>
  </r>
  <r>
    <x v="39"/>
    <x v="39"/>
    <x v="39"/>
    <x v="1"/>
    <x v="1"/>
    <x v="0"/>
    <x v="1"/>
    <x v="7"/>
    <n v="237.55"/>
    <x v="2"/>
    <n v="1900.4"/>
    <n v="0"/>
    <n v="1900.4"/>
    <n v="101.64"/>
    <n v="813.12"/>
    <n v="1087.28"/>
    <n v="57.213218269837903"/>
  </r>
  <r>
    <x v="40"/>
    <x v="40"/>
    <x v="40"/>
    <x v="3"/>
    <x v="1"/>
    <x v="0"/>
    <x v="4"/>
    <x v="4"/>
    <n v="124.49"/>
    <x v="0"/>
    <n v="1120.4099999999901"/>
    <n v="168.061499999999"/>
    <n v="952.34849999999904"/>
    <n v="115.99"/>
    <n v="1043.9099999999901"/>
    <n v="-91.561499999999995"/>
    <n v="-9.6142851067650099"/>
  </r>
  <r>
    <x v="41"/>
    <x v="41"/>
    <x v="41"/>
    <x v="3"/>
    <x v="0"/>
    <x v="1"/>
    <x v="0"/>
    <x v="2"/>
    <n v="235.01"/>
    <x v="1"/>
    <n v="235.01"/>
    <n v="47.002000000000002"/>
    <n v="188.00799999999899"/>
    <n v="13.71"/>
    <n v="13.71"/>
    <n v="174.29799999999901"/>
    <n v="92.707757116718398"/>
  </r>
  <r>
    <x v="42"/>
    <x v="42"/>
    <x v="42"/>
    <x v="2"/>
    <x v="1"/>
    <x v="2"/>
    <x v="6"/>
    <x v="5"/>
    <n v="17.63"/>
    <x v="2"/>
    <n v="52.89"/>
    <n v="0"/>
    <n v="52.89"/>
    <n v="120.26"/>
    <n v="360.78"/>
    <n v="-307.89"/>
    <n v="-582.13272830402695"/>
  </r>
  <r>
    <x v="43"/>
    <x v="43"/>
    <x v="43"/>
    <x v="0"/>
    <x v="0"/>
    <x v="1"/>
    <x v="4"/>
    <x v="0"/>
    <n v="181.06"/>
    <x v="0"/>
    <n v="362.12"/>
    <n v="54.317999999999998"/>
    <n v="307.80200000000002"/>
    <n v="111.61"/>
    <n v="223.22"/>
    <n v="84.581999999999994"/>
    <n v="27.479353610437801"/>
  </r>
  <r>
    <x v="44"/>
    <x v="44"/>
    <x v="44"/>
    <x v="3"/>
    <x v="1"/>
    <x v="1"/>
    <x v="3"/>
    <x v="1"/>
    <n v="158.69"/>
    <x v="2"/>
    <n v="793.45"/>
    <n v="0"/>
    <n v="793.45"/>
    <n v="141.78"/>
    <n v="708.9"/>
    <n v="84.55"/>
    <n v="10.655995966979599"/>
  </r>
  <r>
    <x v="45"/>
    <x v="45"/>
    <x v="45"/>
    <x v="1"/>
    <x v="0"/>
    <x v="3"/>
    <x v="6"/>
    <x v="6"/>
    <n v="137.56"/>
    <x v="0"/>
    <n v="825.36"/>
    <n v="123.804"/>
    <n v="701.55600000000004"/>
    <n v="114.49"/>
    <n v="686.93999999999903"/>
    <n v="14.616000000000099"/>
    <n v="2.0833689684073802"/>
  </r>
  <r>
    <x v="46"/>
    <x v="46"/>
    <x v="46"/>
    <x v="0"/>
    <x v="0"/>
    <x v="3"/>
    <x v="3"/>
    <x v="0"/>
    <n v="118.3"/>
    <x v="3"/>
    <n v="236.6"/>
    <n v="23.66"/>
    <n v="212.94"/>
    <n v="94.46"/>
    <n v="188.92"/>
    <n v="24.02"/>
    <n v="11.2801728186343"/>
  </r>
  <r>
    <x v="47"/>
    <x v="47"/>
    <x v="47"/>
    <x v="2"/>
    <x v="1"/>
    <x v="3"/>
    <x v="0"/>
    <x v="2"/>
    <n v="245.1"/>
    <x v="3"/>
    <n v="245.1"/>
    <n v="24.51"/>
    <n v="220.59"/>
    <n v="117.87"/>
    <n v="117.87"/>
    <n v="102.72"/>
    <n v="46.566027471780203"/>
  </r>
  <r>
    <x v="48"/>
    <x v="48"/>
    <x v="48"/>
    <x v="3"/>
    <x v="1"/>
    <x v="0"/>
    <x v="2"/>
    <x v="6"/>
    <n v="225.09"/>
    <x v="4"/>
    <n v="1350.54"/>
    <n v="67.527000000000001"/>
    <n v="1283.0129999999999"/>
    <n v="92.35"/>
    <n v="554.099999999999"/>
    <n v="728.91300000000001"/>
    <n v="56.812596598787302"/>
  </r>
  <r>
    <x v="49"/>
    <x v="49"/>
    <x v="49"/>
    <x v="2"/>
    <x v="0"/>
    <x v="3"/>
    <x v="6"/>
    <x v="2"/>
    <n v="57.3"/>
    <x v="4"/>
    <n v="57.3"/>
    <n v="2.8650000000000002"/>
    <n v="54.434999999999903"/>
    <n v="74.989999999999995"/>
    <n v="74.989999999999995"/>
    <n v="-20.555"/>
    <n v="-37.760631946357996"/>
  </r>
  <r>
    <x v="50"/>
    <x v="50"/>
    <x v="50"/>
    <x v="1"/>
    <x v="1"/>
    <x v="3"/>
    <x v="3"/>
    <x v="8"/>
    <n v="169.17"/>
    <x v="4"/>
    <n v="1184.1899999999901"/>
    <n v="59.209499999999899"/>
    <n v="1124.9804999999999"/>
    <n v="147.07"/>
    <n v="1029.49"/>
    <n v="95.490499999999798"/>
    <n v="8.4881915730983692"/>
  </r>
  <r>
    <x v="51"/>
    <x v="51"/>
    <x v="51"/>
    <x v="3"/>
    <x v="1"/>
    <x v="2"/>
    <x v="4"/>
    <x v="8"/>
    <n v="235.75"/>
    <x v="3"/>
    <n v="1650.25"/>
    <n v="165.02500000000001"/>
    <n v="1485.2249999999999"/>
    <n v="76.66"/>
    <n v="536.62"/>
    <n v="948.604999999999"/>
    <n v="63.869447390125998"/>
  </r>
  <r>
    <x v="52"/>
    <x v="52"/>
    <x v="52"/>
    <x v="0"/>
    <x v="0"/>
    <x v="2"/>
    <x v="2"/>
    <x v="6"/>
    <n v="104.09"/>
    <x v="1"/>
    <n v="624.54"/>
    <n v="124.908"/>
    <n v="499.63199999999898"/>
    <n v="19.649999999999999"/>
    <n v="117.899999999999"/>
    <n v="381.731999999999"/>
    <n v="76.402632337400306"/>
  </r>
  <r>
    <x v="53"/>
    <x v="53"/>
    <x v="53"/>
    <x v="2"/>
    <x v="1"/>
    <x v="0"/>
    <x v="4"/>
    <x v="8"/>
    <n v="133.44"/>
    <x v="1"/>
    <n v="934.07999999999902"/>
    <n v="186.816"/>
    <n v="747.26399999999899"/>
    <n v="11.62"/>
    <n v="81.339999999999904"/>
    <n v="665.92399999999895"/>
    <n v="89.114958033573103"/>
  </r>
  <r>
    <x v="54"/>
    <x v="54"/>
    <x v="54"/>
    <x v="0"/>
    <x v="1"/>
    <x v="2"/>
    <x v="5"/>
    <x v="0"/>
    <n v="147.02000000000001"/>
    <x v="0"/>
    <n v="294.04000000000002"/>
    <n v="44.106000000000002"/>
    <n v="249.934"/>
    <n v="58.49"/>
    <n v="116.98"/>
    <n v="132.95400000000001"/>
    <n v="53.195643649923497"/>
  </r>
  <r>
    <x v="55"/>
    <x v="55"/>
    <x v="55"/>
    <x v="2"/>
    <x v="1"/>
    <x v="0"/>
    <x v="3"/>
    <x v="4"/>
    <n v="230.04"/>
    <x v="3"/>
    <n v="2070.36"/>
    <n v="207.036"/>
    <n v="1863.3240000000001"/>
    <n v="71.16"/>
    <n v="640.43999999999903"/>
    <n v="1222.884"/>
    <n v="65.629165942154899"/>
  </r>
  <r>
    <x v="56"/>
    <x v="56"/>
    <x v="56"/>
    <x v="2"/>
    <x v="0"/>
    <x v="1"/>
    <x v="3"/>
    <x v="6"/>
    <n v="69.81"/>
    <x v="4"/>
    <n v="418.86"/>
    <n v="20.943000000000001"/>
    <n v="397.91699999999997"/>
    <n v="85.66"/>
    <n v="513.96"/>
    <n v="-116.04300000000001"/>
    <n v="-29.162614314040301"/>
  </r>
  <r>
    <x v="57"/>
    <x v="57"/>
    <x v="57"/>
    <x v="1"/>
    <x v="1"/>
    <x v="2"/>
    <x v="3"/>
    <x v="7"/>
    <n v="183.72"/>
    <x v="2"/>
    <n v="1469.76"/>
    <n v="0"/>
    <n v="1469.76"/>
    <n v="15.1"/>
    <n v="120.8"/>
    <n v="1348.96"/>
    <n v="91.780971042891295"/>
  </r>
  <r>
    <x v="58"/>
    <x v="58"/>
    <x v="58"/>
    <x v="0"/>
    <x v="0"/>
    <x v="2"/>
    <x v="2"/>
    <x v="3"/>
    <n v="84.23"/>
    <x v="2"/>
    <n v="336.92"/>
    <n v="0"/>
    <n v="336.92"/>
    <n v="84.81"/>
    <n v="339.24"/>
    <n v="-2.3199999999999901"/>
    <n v="-0.68859076338596503"/>
  </r>
  <r>
    <x v="59"/>
    <x v="59"/>
    <x v="59"/>
    <x v="1"/>
    <x v="0"/>
    <x v="2"/>
    <x v="0"/>
    <x v="6"/>
    <n v="135.97"/>
    <x v="0"/>
    <n v="815.81999999999903"/>
    <n v="122.372999999999"/>
    <n v="693.44699999999898"/>
    <n v="143.99"/>
    <n v="863.94"/>
    <n v="-170.49299999999999"/>
    <n v="-24.586305802750601"/>
  </r>
  <r>
    <x v="60"/>
    <x v="60"/>
    <x v="60"/>
    <x v="1"/>
    <x v="1"/>
    <x v="2"/>
    <x v="6"/>
    <x v="4"/>
    <n v="171.9"/>
    <x v="3"/>
    <n v="1547.1"/>
    <n v="154.71"/>
    <n v="1392.39"/>
    <n v="114"/>
    <n v="1026"/>
    <n v="366.39"/>
    <n v="26.313748303277102"/>
  </r>
  <r>
    <x v="61"/>
    <x v="61"/>
    <x v="61"/>
    <x v="0"/>
    <x v="0"/>
    <x v="3"/>
    <x v="3"/>
    <x v="7"/>
    <n v="106.78"/>
    <x v="2"/>
    <n v="854.24"/>
    <n v="0"/>
    <n v="854.24"/>
    <n v="106.99"/>
    <n v="855.92"/>
    <n v="-1.67999999999995"/>
    <n v="-0.196666042330018"/>
  </r>
  <r>
    <x v="62"/>
    <x v="62"/>
    <x v="62"/>
    <x v="2"/>
    <x v="0"/>
    <x v="1"/>
    <x v="5"/>
    <x v="2"/>
    <n v="55.42"/>
    <x v="0"/>
    <n v="55.42"/>
    <n v="8.3130000000000006"/>
    <n v="47.106999999999999"/>
    <n v="79.709999999999994"/>
    <n v="79.709999999999994"/>
    <n v="-32.602999999999902"/>
    <n v="-69.2105207294032"/>
  </r>
  <r>
    <x v="63"/>
    <x v="63"/>
    <x v="24"/>
    <x v="2"/>
    <x v="1"/>
    <x v="3"/>
    <x v="4"/>
    <x v="6"/>
    <n v="69.5"/>
    <x v="2"/>
    <n v="417"/>
    <n v="0"/>
    <n v="417"/>
    <n v="133.22999999999999"/>
    <n v="799.37999999999897"/>
    <n v="-382.37999999999897"/>
    <n v="-91.697841726618606"/>
  </r>
  <r>
    <x v="64"/>
    <x v="64"/>
    <x v="63"/>
    <x v="1"/>
    <x v="1"/>
    <x v="3"/>
    <x v="0"/>
    <x v="2"/>
    <n v="170.57"/>
    <x v="3"/>
    <n v="170.57"/>
    <n v="17.056999999999999"/>
    <n v="153.51300000000001"/>
    <n v="18.18"/>
    <n v="18.18"/>
    <n v="135.333"/>
    <n v="88.157354751714806"/>
  </r>
  <r>
    <x v="65"/>
    <x v="65"/>
    <x v="64"/>
    <x v="2"/>
    <x v="1"/>
    <x v="1"/>
    <x v="3"/>
    <x v="1"/>
    <n v="27.83"/>
    <x v="3"/>
    <n v="139.14999999999901"/>
    <n v="13.914999999999999"/>
    <n v="125.234999999999"/>
    <n v="117.73"/>
    <n v="588.65"/>
    <n v="-463.414999999999"/>
    <n v="-370.03633169641"/>
  </r>
  <r>
    <x v="66"/>
    <x v="66"/>
    <x v="65"/>
    <x v="0"/>
    <x v="0"/>
    <x v="3"/>
    <x v="6"/>
    <x v="8"/>
    <n v="39.97"/>
    <x v="4"/>
    <n v="279.789999999999"/>
    <n v="13.9895"/>
    <n v="265.80049999999898"/>
    <n v="108.42"/>
    <n v="758.94"/>
    <n v="-493.1395"/>
    <n v="-185.52993692637901"/>
  </r>
  <r>
    <x v="67"/>
    <x v="67"/>
    <x v="66"/>
    <x v="1"/>
    <x v="1"/>
    <x v="2"/>
    <x v="6"/>
    <x v="4"/>
    <n v="55.79"/>
    <x v="4"/>
    <n v="502.11"/>
    <n v="25.105499999999999"/>
    <n v="477.00450000000001"/>
    <n v="59.85"/>
    <n v="538.65"/>
    <n v="-61.645499999999899"/>
    <n v="-12.923462986198199"/>
  </r>
  <r>
    <x v="68"/>
    <x v="68"/>
    <x v="67"/>
    <x v="2"/>
    <x v="1"/>
    <x v="3"/>
    <x v="5"/>
    <x v="0"/>
    <n v="178.92"/>
    <x v="3"/>
    <n v="357.84"/>
    <n v="35.783999999999999"/>
    <n v="322.05599999999998"/>
    <n v="76.13"/>
    <n v="152.26"/>
    <n v="169.79599999999999"/>
    <n v="52.722507886827103"/>
  </r>
  <r>
    <x v="69"/>
    <x v="69"/>
    <x v="68"/>
    <x v="1"/>
    <x v="0"/>
    <x v="3"/>
    <x v="2"/>
    <x v="4"/>
    <n v="165.76"/>
    <x v="2"/>
    <n v="1491.84"/>
    <n v="0"/>
    <n v="1491.84"/>
    <n v="27.04"/>
    <n v="243.35999999999899"/>
    <n v="1248.48"/>
    <n v="83.687258687258606"/>
  </r>
  <r>
    <x v="70"/>
    <x v="70"/>
    <x v="69"/>
    <x v="3"/>
    <x v="1"/>
    <x v="1"/>
    <x v="3"/>
    <x v="6"/>
    <n v="203.3"/>
    <x v="0"/>
    <n v="1219.8"/>
    <n v="182.97"/>
    <n v="1036.83"/>
    <n v="5.9"/>
    <n v="35.4"/>
    <n v="1001.43"/>
    <n v="96.585746940192706"/>
  </r>
  <r>
    <x v="71"/>
    <x v="71"/>
    <x v="70"/>
    <x v="1"/>
    <x v="0"/>
    <x v="2"/>
    <x v="1"/>
    <x v="4"/>
    <n v="236.67"/>
    <x v="2"/>
    <n v="2130.0299999999902"/>
    <n v="0"/>
    <n v="2130.0299999999902"/>
    <n v="53.68"/>
    <n v="483.12"/>
    <n v="1646.9099999999901"/>
    <n v="77.318629315080003"/>
  </r>
  <r>
    <x v="72"/>
    <x v="72"/>
    <x v="71"/>
    <x v="1"/>
    <x v="1"/>
    <x v="0"/>
    <x v="2"/>
    <x v="0"/>
    <n v="158.13999999999999"/>
    <x v="3"/>
    <n v="316.27999999999997"/>
    <n v="31.628"/>
    <n v="284.65199999999999"/>
    <n v="54.02"/>
    <n v="108.04"/>
    <n v="176.611999999999"/>
    <n v="62.044882874527403"/>
  </r>
  <r>
    <x v="73"/>
    <x v="73"/>
    <x v="23"/>
    <x v="1"/>
    <x v="0"/>
    <x v="2"/>
    <x v="6"/>
    <x v="5"/>
    <n v="201.41"/>
    <x v="3"/>
    <n v="604.23"/>
    <n v="60.423000000000002"/>
    <n v="543.80700000000002"/>
    <n v="80.48"/>
    <n v="241.44"/>
    <n v="302.36700000000002"/>
    <n v="55.6018955254345"/>
  </r>
  <r>
    <x v="74"/>
    <x v="74"/>
    <x v="72"/>
    <x v="3"/>
    <x v="0"/>
    <x v="1"/>
    <x v="0"/>
    <x v="0"/>
    <n v="208.14"/>
    <x v="0"/>
    <n v="416.28"/>
    <n v="62.441999999999901"/>
    <n v="353.837999999999"/>
    <n v="55.15"/>
    <n v="110.3"/>
    <n v="243.53799999999899"/>
    <n v="68.827542547719503"/>
  </r>
  <r>
    <x v="75"/>
    <x v="75"/>
    <x v="73"/>
    <x v="0"/>
    <x v="0"/>
    <x v="1"/>
    <x v="4"/>
    <x v="3"/>
    <n v="145.72"/>
    <x v="1"/>
    <n v="582.88"/>
    <n v="116.57599999999999"/>
    <n v="466.30399999999997"/>
    <n v="133.94999999999999"/>
    <n v="535.79999999999995"/>
    <n v="-69.495999999999896"/>
    <n v="-14.903582212462201"/>
  </r>
  <r>
    <x v="76"/>
    <x v="76"/>
    <x v="74"/>
    <x v="1"/>
    <x v="1"/>
    <x v="2"/>
    <x v="0"/>
    <x v="7"/>
    <n v="103.05"/>
    <x v="1"/>
    <n v="824.4"/>
    <n v="164.88"/>
    <n v="659.52"/>
    <n v="25.93"/>
    <n v="207.44"/>
    <n v="452.08"/>
    <n v="68.546821931101405"/>
  </r>
  <r>
    <x v="77"/>
    <x v="77"/>
    <x v="75"/>
    <x v="1"/>
    <x v="1"/>
    <x v="0"/>
    <x v="5"/>
    <x v="3"/>
    <n v="205.71"/>
    <x v="4"/>
    <n v="822.84"/>
    <n v="41.142000000000003"/>
    <n v="781.69799999999998"/>
    <n v="124.47"/>
    <n v="497.88"/>
    <n v="283.81799999999998"/>
    <n v="36.307883607224198"/>
  </r>
  <r>
    <x v="78"/>
    <x v="78"/>
    <x v="76"/>
    <x v="3"/>
    <x v="1"/>
    <x v="3"/>
    <x v="1"/>
    <x v="1"/>
    <n v="93.31"/>
    <x v="2"/>
    <n v="466.55"/>
    <n v="0"/>
    <n v="466.55"/>
    <n v="83.93"/>
    <n v="419.65"/>
    <n v="46.899999999999899"/>
    <n v="10.052513128281999"/>
  </r>
  <r>
    <x v="79"/>
    <x v="79"/>
    <x v="77"/>
    <x v="3"/>
    <x v="0"/>
    <x v="3"/>
    <x v="2"/>
    <x v="4"/>
    <n v="159.57"/>
    <x v="4"/>
    <n v="1436.1299999999901"/>
    <n v="71.8065"/>
    <n v="1364.3235"/>
    <n v="37.08"/>
    <n v="333.719999999999"/>
    <n v="1030.6034999999999"/>
    <n v="75.539525633033506"/>
  </r>
  <r>
    <x v="80"/>
    <x v="80"/>
    <x v="78"/>
    <x v="0"/>
    <x v="1"/>
    <x v="2"/>
    <x v="3"/>
    <x v="4"/>
    <n v="113.49"/>
    <x v="1"/>
    <n v="1021.41"/>
    <n v="204.28200000000001"/>
    <n v="817.12799999999902"/>
    <n v="132.03"/>
    <n v="1188.27"/>
    <n v="-371.142"/>
    <n v="-45.420301348136398"/>
  </r>
  <r>
    <x v="81"/>
    <x v="81"/>
    <x v="79"/>
    <x v="1"/>
    <x v="0"/>
    <x v="3"/>
    <x v="4"/>
    <x v="6"/>
    <n v="39"/>
    <x v="2"/>
    <n v="234"/>
    <n v="0"/>
    <n v="234"/>
    <n v="85.2"/>
    <n v="511.2"/>
    <n v="-277.2"/>
    <n v="-118.461538461538"/>
  </r>
  <r>
    <x v="82"/>
    <x v="82"/>
    <x v="4"/>
    <x v="3"/>
    <x v="1"/>
    <x v="2"/>
    <x v="5"/>
    <x v="5"/>
    <n v="34.11"/>
    <x v="3"/>
    <n v="102.33"/>
    <n v="10.233000000000001"/>
    <n v="92.096999999999994"/>
    <n v="19.010000000000002"/>
    <n v="57.03"/>
    <n v="35.066999999999901"/>
    <n v="38.076158832535199"/>
  </r>
  <r>
    <x v="83"/>
    <x v="83"/>
    <x v="80"/>
    <x v="1"/>
    <x v="1"/>
    <x v="2"/>
    <x v="0"/>
    <x v="3"/>
    <n v="35.19"/>
    <x v="4"/>
    <n v="140.76"/>
    <n v="7.0380000000000003"/>
    <n v="133.72199999999901"/>
    <n v="130.66"/>
    <n v="522.64"/>
    <n v="-388.91800000000001"/>
    <n v="-290.84069936136098"/>
  </r>
  <r>
    <x v="84"/>
    <x v="84"/>
    <x v="81"/>
    <x v="2"/>
    <x v="1"/>
    <x v="1"/>
    <x v="5"/>
    <x v="5"/>
    <n v="66.459999999999994"/>
    <x v="1"/>
    <n v="199.38"/>
    <n v="39.875999999999998"/>
    <n v="159.50399999999999"/>
    <n v="44.51"/>
    <n v="133.53"/>
    <n v="25.973999999999901"/>
    <n v="16.284231116461001"/>
  </r>
  <r>
    <x v="85"/>
    <x v="85"/>
    <x v="79"/>
    <x v="2"/>
    <x v="0"/>
    <x v="3"/>
    <x v="4"/>
    <x v="2"/>
    <n v="26.83"/>
    <x v="2"/>
    <n v="26.83"/>
    <n v="0"/>
    <n v="26.83"/>
    <n v="87.88"/>
    <n v="87.88"/>
    <n v="-61.05"/>
    <n v="-227.54379426015601"/>
  </r>
  <r>
    <x v="86"/>
    <x v="86"/>
    <x v="82"/>
    <x v="2"/>
    <x v="1"/>
    <x v="3"/>
    <x v="2"/>
    <x v="7"/>
    <n v="180.66"/>
    <x v="3"/>
    <n v="1445.28"/>
    <n v="144.52799999999999"/>
    <n v="1300.752"/>
    <n v="103.44"/>
    <n v="827.52"/>
    <n v="473.231999999999"/>
    <n v="36.3814162884239"/>
  </r>
  <r>
    <x v="87"/>
    <x v="87"/>
    <x v="83"/>
    <x v="2"/>
    <x v="0"/>
    <x v="1"/>
    <x v="5"/>
    <x v="3"/>
    <n v="80.98"/>
    <x v="2"/>
    <n v="323.92"/>
    <n v="0"/>
    <n v="323.92"/>
    <n v="112.88"/>
    <n v="451.52"/>
    <n v="-127.599999999999"/>
    <n v="-39.392442578414403"/>
  </r>
  <r>
    <x v="88"/>
    <x v="88"/>
    <x v="84"/>
    <x v="1"/>
    <x v="0"/>
    <x v="3"/>
    <x v="1"/>
    <x v="1"/>
    <n v="173.7"/>
    <x v="2"/>
    <n v="868.5"/>
    <n v="0"/>
    <n v="868.5"/>
    <n v="108.9"/>
    <n v="544.5"/>
    <n v="324"/>
    <n v="37.305699481865197"/>
  </r>
  <r>
    <x v="89"/>
    <x v="89"/>
    <x v="30"/>
    <x v="2"/>
    <x v="1"/>
    <x v="2"/>
    <x v="0"/>
    <x v="3"/>
    <n v="180.1"/>
    <x v="0"/>
    <n v="720.4"/>
    <n v="108.05999999999899"/>
    <n v="612.34"/>
    <n v="125.58"/>
    <n v="502.32"/>
    <n v="110.02"/>
    <n v="17.967142437208"/>
  </r>
  <r>
    <x v="90"/>
    <x v="90"/>
    <x v="85"/>
    <x v="1"/>
    <x v="1"/>
    <x v="3"/>
    <x v="3"/>
    <x v="8"/>
    <n v="174.32"/>
    <x v="4"/>
    <n v="1220.24"/>
    <n v="61.012"/>
    <n v="1159.2280000000001"/>
    <n v="116.72"/>
    <n v="817.04"/>
    <n v="342.18799999999999"/>
    <n v="29.518610661578201"/>
  </r>
  <r>
    <x v="91"/>
    <x v="91"/>
    <x v="86"/>
    <x v="0"/>
    <x v="0"/>
    <x v="3"/>
    <x v="6"/>
    <x v="7"/>
    <n v="195.37"/>
    <x v="2"/>
    <n v="1562.96"/>
    <n v="0"/>
    <n v="1562.96"/>
    <n v="32.36"/>
    <n v="258.88"/>
    <n v="1304.08"/>
    <n v="83.436556277831798"/>
  </r>
  <r>
    <x v="92"/>
    <x v="92"/>
    <x v="87"/>
    <x v="1"/>
    <x v="1"/>
    <x v="2"/>
    <x v="3"/>
    <x v="2"/>
    <n v="134.16"/>
    <x v="2"/>
    <n v="134.16"/>
    <n v="0"/>
    <n v="134.16"/>
    <n v="85.78"/>
    <n v="85.78"/>
    <n v="48.379999999999903"/>
    <n v="36.061419200953999"/>
  </r>
  <r>
    <x v="93"/>
    <x v="93"/>
    <x v="88"/>
    <x v="3"/>
    <x v="1"/>
    <x v="3"/>
    <x v="6"/>
    <x v="2"/>
    <n v="178.48"/>
    <x v="0"/>
    <n v="178.48"/>
    <n v="26.771999999999998"/>
    <n v="151.708"/>
    <n v="76.59"/>
    <n v="76.59"/>
    <n v="75.117999999999995"/>
    <n v="49.514857489387502"/>
  </r>
  <r>
    <x v="94"/>
    <x v="94"/>
    <x v="89"/>
    <x v="2"/>
    <x v="1"/>
    <x v="0"/>
    <x v="6"/>
    <x v="8"/>
    <n v="220.63"/>
    <x v="1"/>
    <n v="1544.4099999999901"/>
    <n v="308.88200000000001"/>
    <n v="1235.52799999999"/>
    <n v="24.32"/>
    <n v="170.24"/>
    <n v="1065.28799999999"/>
    <n v="86.221275438516898"/>
  </r>
  <r>
    <x v="95"/>
    <x v="95"/>
    <x v="90"/>
    <x v="1"/>
    <x v="1"/>
    <x v="1"/>
    <x v="0"/>
    <x v="5"/>
    <n v="36.07"/>
    <x v="0"/>
    <n v="108.21"/>
    <n v="16.2315"/>
    <n v="91.978499999999997"/>
    <n v="67.83"/>
    <n v="203.49"/>
    <n v="-111.5115"/>
    <n v="-121.23648461325099"/>
  </r>
  <r>
    <x v="96"/>
    <x v="96"/>
    <x v="91"/>
    <x v="1"/>
    <x v="0"/>
    <x v="1"/>
    <x v="2"/>
    <x v="5"/>
    <n v="76.55"/>
    <x v="1"/>
    <n v="229.64999999999901"/>
    <n v="45.93"/>
    <n v="183.719999999999"/>
    <n v="117.62"/>
    <n v="352.86"/>
    <n v="-169.14"/>
    <n v="-92.064010450685799"/>
  </r>
  <r>
    <x v="97"/>
    <x v="97"/>
    <x v="92"/>
    <x v="2"/>
    <x v="1"/>
    <x v="1"/>
    <x v="0"/>
    <x v="0"/>
    <n v="153.44"/>
    <x v="3"/>
    <n v="306.88"/>
    <n v="30.687999999999999"/>
    <n v="276.19200000000001"/>
    <n v="69.459999999999994"/>
    <n v="138.91999999999999"/>
    <n v="137.27199999999999"/>
    <n v="49.701656818445102"/>
  </r>
  <r>
    <x v="98"/>
    <x v="98"/>
    <x v="22"/>
    <x v="0"/>
    <x v="0"/>
    <x v="0"/>
    <x v="2"/>
    <x v="3"/>
    <n v="233.97"/>
    <x v="3"/>
    <n v="935.88"/>
    <n v="93.587999999999994"/>
    <n v="842.29200000000003"/>
    <n v="61.86"/>
    <n v="247.44"/>
    <n v="594.85199999999998"/>
    <n v="70.623014346568596"/>
  </r>
  <r>
    <x v="99"/>
    <x v="99"/>
    <x v="93"/>
    <x v="0"/>
    <x v="0"/>
    <x v="0"/>
    <x v="0"/>
    <x v="3"/>
    <n v="45.06"/>
    <x v="4"/>
    <n v="180.24"/>
    <n v="9.0120000000000005"/>
    <n v="171.22800000000001"/>
    <n v="74.069999999999993"/>
    <n v="296.27999999999997"/>
    <n v="-125.051999999999"/>
    <n v="-73.032447964117907"/>
  </r>
  <r>
    <x v="100"/>
    <x v="100"/>
    <x v="94"/>
    <x v="2"/>
    <x v="0"/>
    <x v="3"/>
    <x v="5"/>
    <x v="0"/>
    <n v="102.24"/>
    <x v="0"/>
    <n v="204.48"/>
    <n v="30.671999999999901"/>
    <n v="173.80799999999999"/>
    <n v="86.92"/>
    <n v="173.84"/>
    <n v="-3.2000000000010603E-2"/>
    <n v="-1.8411120316677399E-2"/>
  </r>
  <r>
    <x v="101"/>
    <x v="101"/>
    <x v="95"/>
    <x v="1"/>
    <x v="1"/>
    <x v="3"/>
    <x v="0"/>
    <x v="0"/>
    <n v="26.6"/>
    <x v="1"/>
    <n v="53.2"/>
    <n v="10.64"/>
    <n v="42.56"/>
    <n v="115.91"/>
    <n v="231.82"/>
    <n v="-189.26"/>
    <n v="-444.68984962406"/>
  </r>
  <r>
    <x v="102"/>
    <x v="102"/>
    <x v="96"/>
    <x v="3"/>
    <x v="1"/>
    <x v="3"/>
    <x v="0"/>
    <x v="5"/>
    <n v="234.16"/>
    <x v="2"/>
    <n v="702.48"/>
    <n v="0"/>
    <n v="702.48"/>
    <n v="128.72"/>
    <n v="386.159999999999"/>
    <n v="316.32"/>
    <n v="45.029039972668201"/>
  </r>
  <r>
    <x v="103"/>
    <x v="103"/>
    <x v="97"/>
    <x v="0"/>
    <x v="0"/>
    <x v="1"/>
    <x v="4"/>
    <x v="5"/>
    <n v="84.25"/>
    <x v="4"/>
    <n v="252.75"/>
    <n v="12.637499999999999"/>
    <n v="240.11250000000001"/>
    <n v="46.91"/>
    <n v="140.72999999999999"/>
    <n v="99.382499999999993"/>
    <n v="41.389973449945302"/>
  </r>
  <r>
    <x v="104"/>
    <x v="104"/>
    <x v="98"/>
    <x v="3"/>
    <x v="1"/>
    <x v="0"/>
    <x v="1"/>
    <x v="0"/>
    <n v="143.4"/>
    <x v="0"/>
    <n v="286.8"/>
    <n v="43.02"/>
    <n v="243.78"/>
    <n v="43.23"/>
    <n v="86.46"/>
    <n v="157.32"/>
    <n v="64.533595865124298"/>
  </r>
  <r>
    <x v="105"/>
    <x v="105"/>
    <x v="99"/>
    <x v="2"/>
    <x v="0"/>
    <x v="3"/>
    <x v="5"/>
    <x v="8"/>
    <n v="32.520000000000003"/>
    <x v="1"/>
    <n v="227.64"/>
    <n v="45.527999999999999"/>
    <n v="182.11199999999999"/>
    <n v="50.82"/>
    <n v="355.74"/>
    <n v="-173.62799999999999"/>
    <n v="-95.341328413284103"/>
  </r>
  <r>
    <x v="106"/>
    <x v="106"/>
    <x v="4"/>
    <x v="3"/>
    <x v="0"/>
    <x v="2"/>
    <x v="0"/>
    <x v="5"/>
    <n v="202.18"/>
    <x v="2"/>
    <n v="606.54"/>
    <n v="0"/>
    <n v="606.54"/>
    <n v="130.44"/>
    <n v="391.32"/>
    <n v="215.219999999999"/>
    <n v="35.483232762884498"/>
  </r>
  <r>
    <x v="107"/>
    <x v="107"/>
    <x v="100"/>
    <x v="1"/>
    <x v="0"/>
    <x v="0"/>
    <x v="6"/>
    <x v="6"/>
    <n v="22.22"/>
    <x v="0"/>
    <n v="133.32"/>
    <n v="19.997999999999902"/>
    <n v="113.322"/>
    <n v="135.58000000000001"/>
    <n v="813.48"/>
    <n v="-700.15800000000002"/>
    <n v="-617.84825541377597"/>
  </r>
  <r>
    <x v="108"/>
    <x v="108"/>
    <x v="101"/>
    <x v="1"/>
    <x v="0"/>
    <x v="0"/>
    <x v="1"/>
    <x v="4"/>
    <n v="62.15"/>
    <x v="4"/>
    <n v="559.35"/>
    <n v="27.967500000000001"/>
    <n v="531.38250000000005"/>
    <n v="54.57"/>
    <n v="491.13"/>
    <n v="40.252499999999998"/>
    <n v="7.5750518694161002"/>
  </r>
  <r>
    <x v="109"/>
    <x v="109"/>
    <x v="102"/>
    <x v="2"/>
    <x v="0"/>
    <x v="3"/>
    <x v="5"/>
    <x v="5"/>
    <n v="18.04"/>
    <x v="4"/>
    <n v="54.12"/>
    <n v="2.706"/>
    <n v="51.413999999999902"/>
    <n v="125.85"/>
    <n v="377.54999999999899"/>
    <n v="-326.135999999999"/>
    <n v="-634.33306103395898"/>
  </r>
  <r>
    <x v="110"/>
    <x v="110"/>
    <x v="103"/>
    <x v="0"/>
    <x v="0"/>
    <x v="1"/>
    <x v="6"/>
    <x v="0"/>
    <n v="34.81"/>
    <x v="0"/>
    <n v="69.62"/>
    <n v="10.443"/>
    <n v="59.177"/>
    <n v="83.93"/>
    <n v="167.86"/>
    <n v="-108.68300000000001"/>
    <n v="-183.65750207005999"/>
  </r>
  <r>
    <x v="111"/>
    <x v="111"/>
    <x v="104"/>
    <x v="1"/>
    <x v="0"/>
    <x v="2"/>
    <x v="5"/>
    <x v="2"/>
    <n v="171.18"/>
    <x v="4"/>
    <n v="171.18"/>
    <n v="8.5589999999999993"/>
    <n v="162.62100000000001"/>
    <n v="143.9"/>
    <n v="143.9"/>
    <n v="18.721"/>
    <n v="11.512043340036"/>
  </r>
  <r>
    <x v="112"/>
    <x v="112"/>
    <x v="62"/>
    <x v="0"/>
    <x v="1"/>
    <x v="2"/>
    <x v="4"/>
    <x v="4"/>
    <n v="76.13"/>
    <x v="0"/>
    <n v="685.17"/>
    <n v="102.77549999999999"/>
    <n v="582.39449999999999"/>
    <n v="87.65"/>
    <n v="788.85"/>
    <n v="-206.4555"/>
    <n v="-35.449424745597703"/>
  </r>
  <r>
    <x v="113"/>
    <x v="113"/>
    <x v="105"/>
    <x v="0"/>
    <x v="1"/>
    <x v="0"/>
    <x v="2"/>
    <x v="0"/>
    <n v="127.73"/>
    <x v="0"/>
    <n v="255.46"/>
    <n v="38.319000000000003"/>
    <n v="217.14099999999999"/>
    <n v="136.1"/>
    <n v="272.2"/>
    <n v="-55.058999999999898"/>
    <n v="-25.356335284446399"/>
  </r>
  <r>
    <x v="114"/>
    <x v="114"/>
    <x v="68"/>
    <x v="1"/>
    <x v="1"/>
    <x v="3"/>
    <x v="5"/>
    <x v="8"/>
    <n v="161.69999999999999"/>
    <x v="3"/>
    <n v="1131.8999999999901"/>
    <n v="113.19"/>
    <n v="1018.70999999999"/>
    <n v="85.4"/>
    <n v="597.79999999999995"/>
    <n v="420.909999999999"/>
    <n v="41.317941317941298"/>
  </r>
  <r>
    <x v="115"/>
    <x v="115"/>
    <x v="106"/>
    <x v="0"/>
    <x v="1"/>
    <x v="2"/>
    <x v="1"/>
    <x v="0"/>
    <n v="125.96"/>
    <x v="1"/>
    <n v="251.92"/>
    <n v="50.384"/>
    <n v="201.536"/>
    <n v="55.63"/>
    <n v="111.26"/>
    <n v="90.275999999999996"/>
    <n v="44.793982216576602"/>
  </r>
  <r>
    <x v="116"/>
    <x v="116"/>
    <x v="107"/>
    <x v="3"/>
    <x v="1"/>
    <x v="2"/>
    <x v="4"/>
    <x v="2"/>
    <n v="95.44"/>
    <x v="3"/>
    <n v="95.44"/>
    <n v="9.5440000000000005"/>
    <n v="85.896000000000001"/>
    <n v="128.13"/>
    <n v="128.13"/>
    <n v="-42.233999999999902"/>
    <n v="-49.168762224084901"/>
  </r>
  <r>
    <x v="117"/>
    <x v="117"/>
    <x v="108"/>
    <x v="2"/>
    <x v="1"/>
    <x v="2"/>
    <x v="4"/>
    <x v="6"/>
    <n v="239.43"/>
    <x v="0"/>
    <n v="1436.58"/>
    <n v="215.48699999999999"/>
    <n v="1221.0929999999901"/>
    <n v="53.92"/>
    <n v="323.52"/>
    <n v="897.57299999999896"/>
    <n v="73.505703496785202"/>
  </r>
  <r>
    <x v="118"/>
    <x v="118"/>
    <x v="109"/>
    <x v="1"/>
    <x v="0"/>
    <x v="3"/>
    <x v="5"/>
    <x v="8"/>
    <n v="202.86"/>
    <x v="3"/>
    <n v="1420.02"/>
    <n v="142.00200000000001"/>
    <n v="1278.018"/>
    <n v="119.35"/>
    <n v="835.44999999999902"/>
    <n v="442.56799999999998"/>
    <n v="34.629246223449101"/>
  </r>
  <r>
    <x v="119"/>
    <x v="119"/>
    <x v="110"/>
    <x v="1"/>
    <x v="0"/>
    <x v="0"/>
    <x v="1"/>
    <x v="5"/>
    <n v="55.81"/>
    <x v="0"/>
    <n v="167.43"/>
    <n v="25.1145"/>
    <n v="142.31549999999999"/>
    <n v="81.95"/>
    <n v="245.85"/>
    <n v="-103.53449999999999"/>
    <n v="-72.749981555066"/>
  </r>
  <r>
    <x v="120"/>
    <x v="120"/>
    <x v="111"/>
    <x v="2"/>
    <x v="1"/>
    <x v="3"/>
    <x v="1"/>
    <x v="5"/>
    <n v="198.38"/>
    <x v="2"/>
    <n v="595.14"/>
    <n v="0"/>
    <n v="595.14"/>
    <n v="51.92"/>
    <n v="155.76"/>
    <n v="439.38"/>
    <n v="73.828006855529793"/>
  </r>
  <r>
    <x v="121"/>
    <x v="121"/>
    <x v="112"/>
    <x v="3"/>
    <x v="1"/>
    <x v="0"/>
    <x v="3"/>
    <x v="8"/>
    <n v="102.6"/>
    <x v="3"/>
    <n v="718.19999999999902"/>
    <n v="71.819999999999993"/>
    <n v="646.37999999999897"/>
    <n v="74.05"/>
    <n v="518.35"/>
    <n v="128.02999999999901"/>
    <n v="19.807234134719401"/>
  </r>
  <r>
    <x v="122"/>
    <x v="122"/>
    <x v="113"/>
    <x v="0"/>
    <x v="1"/>
    <x v="3"/>
    <x v="3"/>
    <x v="7"/>
    <n v="22.64"/>
    <x v="2"/>
    <n v="181.12"/>
    <n v="0"/>
    <n v="181.12"/>
    <n v="136.38"/>
    <n v="1091.04"/>
    <n v="-909.92"/>
    <n v="-502.38515901059998"/>
  </r>
  <r>
    <x v="123"/>
    <x v="123"/>
    <x v="114"/>
    <x v="3"/>
    <x v="0"/>
    <x v="0"/>
    <x v="3"/>
    <x v="7"/>
    <n v="102.57"/>
    <x v="3"/>
    <n v="820.56"/>
    <n v="82.055999999999997"/>
    <n v="738.503999999999"/>
    <n v="48.12"/>
    <n v="384.96"/>
    <n v="353.54399999999902"/>
    <n v="47.872997302655001"/>
  </r>
  <r>
    <x v="124"/>
    <x v="124"/>
    <x v="115"/>
    <x v="2"/>
    <x v="1"/>
    <x v="3"/>
    <x v="5"/>
    <x v="6"/>
    <n v="50.12"/>
    <x v="0"/>
    <n v="300.719999999999"/>
    <n v="45.107999999999997"/>
    <n v="255.611999999999"/>
    <n v="17.52"/>
    <n v="105.12"/>
    <n v="150.491999999999"/>
    <n v="58.875170179803703"/>
  </r>
  <r>
    <x v="125"/>
    <x v="125"/>
    <x v="116"/>
    <x v="2"/>
    <x v="1"/>
    <x v="1"/>
    <x v="6"/>
    <x v="7"/>
    <n v="185.61"/>
    <x v="1"/>
    <n v="1484.88"/>
    <n v="296.976"/>
    <n v="1187.904"/>
    <n v="136.06"/>
    <n v="1088.48"/>
    <n v="99.423999999999893"/>
    <n v="8.3696999084100998"/>
  </r>
  <r>
    <x v="126"/>
    <x v="126"/>
    <x v="117"/>
    <x v="2"/>
    <x v="0"/>
    <x v="1"/>
    <x v="6"/>
    <x v="5"/>
    <n v="108.15"/>
    <x v="4"/>
    <n v="324.45"/>
    <n v="16.2225"/>
    <n v="308.22750000000002"/>
    <n v="22.11"/>
    <n v="66.33"/>
    <n v="241.89750000000001"/>
    <n v="78.480181035111997"/>
  </r>
  <r>
    <x v="127"/>
    <x v="127"/>
    <x v="118"/>
    <x v="1"/>
    <x v="1"/>
    <x v="2"/>
    <x v="0"/>
    <x v="4"/>
    <n v="201.38"/>
    <x v="4"/>
    <n v="1812.42"/>
    <n v="90.620999999999995"/>
    <n v="1721.799"/>
    <n v="38.479999999999997"/>
    <n v="346.32"/>
    <n v="1375.479"/>
    <n v="79.886153958737296"/>
  </r>
  <r>
    <x v="128"/>
    <x v="128"/>
    <x v="119"/>
    <x v="2"/>
    <x v="1"/>
    <x v="1"/>
    <x v="3"/>
    <x v="4"/>
    <n v="241.44"/>
    <x v="2"/>
    <n v="2172.96"/>
    <n v="0"/>
    <n v="2172.96"/>
    <n v="74.56"/>
    <n v="671.04"/>
    <n v="1501.92"/>
    <n v="69.118621603711006"/>
  </r>
  <r>
    <x v="129"/>
    <x v="129"/>
    <x v="120"/>
    <x v="2"/>
    <x v="1"/>
    <x v="0"/>
    <x v="3"/>
    <x v="5"/>
    <n v="121.2"/>
    <x v="3"/>
    <n v="363.6"/>
    <n v="36.36"/>
    <n v="327.24"/>
    <n v="118.08"/>
    <n v="354.24"/>
    <n v="-27"/>
    <n v="-8.2508250825082499"/>
  </r>
  <r>
    <x v="130"/>
    <x v="130"/>
    <x v="121"/>
    <x v="3"/>
    <x v="1"/>
    <x v="2"/>
    <x v="1"/>
    <x v="3"/>
    <n v="77.569999999999993"/>
    <x v="2"/>
    <n v="310.27999999999997"/>
    <n v="0"/>
    <n v="310.27999999999997"/>
    <n v="146.74"/>
    <n v="586.96"/>
    <n v="-276.68"/>
    <n v="-89.171071290447301"/>
  </r>
  <r>
    <x v="131"/>
    <x v="131"/>
    <x v="122"/>
    <x v="1"/>
    <x v="0"/>
    <x v="3"/>
    <x v="3"/>
    <x v="1"/>
    <n v="155.15"/>
    <x v="1"/>
    <n v="775.75"/>
    <n v="155.15"/>
    <n v="620.6"/>
    <n v="32.090000000000003"/>
    <n v="160.44999999999999"/>
    <n v="460.15"/>
    <n v="74.145987753786599"/>
  </r>
  <r>
    <x v="132"/>
    <x v="132"/>
    <x v="123"/>
    <x v="0"/>
    <x v="0"/>
    <x v="2"/>
    <x v="4"/>
    <x v="0"/>
    <n v="135.62"/>
    <x v="3"/>
    <n v="271.24"/>
    <n v="27.123999999999999"/>
    <n v="244.11600000000001"/>
    <n v="38.71"/>
    <n v="77.42"/>
    <n v="166.696"/>
    <n v="68.285569155647295"/>
  </r>
  <r>
    <x v="133"/>
    <x v="133"/>
    <x v="124"/>
    <x v="2"/>
    <x v="0"/>
    <x v="1"/>
    <x v="2"/>
    <x v="7"/>
    <n v="141.35"/>
    <x v="4"/>
    <n v="1130.8"/>
    <n v="56.54"/>
    <n v="1074.26"/>
    <n v="149.44"/>
    <n v="1195.52"/>
    <n v="-121.259999999999"/>
    <n v="-11.2877701859884"/>
  </r>
  <r>
    <x v="134"/>
    <x v="134"/>
    <x v="125"/>
    <x v="1"/>
    <x v="0"/>
    <x v="2"/>
    <x v="5"/>
    <x v="1"/>
    <n v="111.97"/>
    <x v="1"/>
    <n v="559.85"/>
    <n v="111.97"/>
    <n v="447.88"/>
    <n v="86.6"/>
    <n v="433"/>
    <n v="14.8799999999999"/>
    <n v="3.32231847816379"/>
  </r>
  <r>
    <x v="135"/>
    <x v="135"/>
    <x v="126"/>
    <x v="3"/>
    <x v="0"/>
    <x v="3"/>
    <x v="5"/>
    <x v="6"/>
    <n v="105.69"/>
    <x v="0"/>
    <n v="634.14"/>
    <n v="95.120999999999995"/>
    <n v="539.01900000000001"/>
    <n v="129.94999999999999"/>
    <n v="779.69999999999902"/>
    <n v="-240.68099999999899"/>
    <n v="-44.651672761071403"/>
  </r>
  <r>
    <x v="136"/>
    <x v="136"/>
    <x v="127"/>
    <x v="1"/>
    <x v="0"/>
    <x v="0"/>
    <x v="3"/>
    <x v="4"/>
    <n v="84.23"/>
    <x v="1"/>
    <n v="758.07"/>
    <n v="151.614"/>
    <n v="606.45600000000002"/>
    <n v="58"/>
    <n v="522"/>
    <n v="84.456000000000003"/>
    <n v="13.926154576754101"/>
  </r>
  <r>
    <x v="137"/>
    <x v="137"/>
    <x v="128"/>
    <x v="2"/>
    <x v="0"/>
    <x v="3"/>
    <x v="4"/>
    <x v="7"/>
    <n v="229.29"/>
    <x v="3"/>
    <n v="1834.32"/>
    <n v="183.43199999999999"/>
    <n v="1650.8879999999999"/>
    <n v="47.05"/>
    <n v="376.4"/>
    <n v="1274.4879999999901"/>
    <n v="77.200149253007993"/>
  </r>
  <r>
    <x v="138"/>
    <x v="138"/>
    <x v="129"/>
    <x v="2"/>
    <x v="1"/>
    <x v="1"/>
    <x v="5"/>
    <x v="4"/>
    <n v="151.88"/>
    <x v="3"/>
    <n v="1366.92"/>
    <n v="136.69200000000001"/>
    <n v="1230.2280000000001"/>
    <n v="131.88"/>
    <n v="1186.92"/>
    <n v="43.3079999999999"/>
    <n v="3.5203230620665402"/>
  </r>
  <r>
    <x v="139"/>
    <x v="139"/>
    <x v="130"/>
    <x v="0"/>
    <x v="0"/>
    <x v="1"/>
    <x v="0"/>
    <x v="2"/>
    <n v="199.11"/>
    <x v="4"/>
    <n v="199.11"/>
    <n v="9.9555000000000007"/>
    <n v="189.15450000000001"/>
    <n v="34.97"/>
    <n v="34.97"/>
    <n v="154.18450000000001"/>
    <n v="81.5124673216867"/>
  </r>
  <r>
    <x v="140"/>
    <x v="140"/>
    <x v="131"/>
    <x v="1"/>
    <x v="1"/>
    <x v="3"/>
    <x v="2"/>
    <x v="8"/>
    <n v="114.4"/>
    <x v="2"/>
    <n v="800.8"/>
    <n v="0"/>
    <n v="800.8"/>
    <n v="43.48"/>
    <n v="304.35999999999899"/>
    <n v="496.44"/>
    <n v="61.993006993007"/>
  </r>
  <r>
    <x v="141"/>
    <x v="141"/>
    <x v="132"/>
    <x v="0"/>
    <x v="1"/>
    <x v="3"/>
    <x v="5"/>
    <x v="2"/>
    <n v="99.96"/>
    <x v="1"/>
    <n v="99.96"/>
    <n v="19.992000000000001"/>
    <n v="79.967999999999904"/>
    <n v="58.42"/>
    <n v="58.42"/>
    <n v="21.547999999999899"/>
    <n v="26.945778311324499"/>
  </r>
  <r>
    <x v="142"/>
    <x v="142"/>
    <x v="133"/>
    <x v="2"/>
    <x v="1"/>
    <x v="3"/>
    <x v="0"/>
    <x v="4"/>
    <n v="45.57"/>
    <x v="0"/>
    <n v="410.13"/>
    <n v="61.519499999999901"/>
    <n v="348.6105"/>
    <n v="53.58"/>
    <n v="482.219999999999"/>
    <n v="-133.609499999999"/>
    <n v="-38.326298261239899"/>
  </r>
  <r>
    <x v="143"/>
    <x v="143"/>
    <x v="134"/>
    <x v="1"/>
    <x v="0"/>
    <x v="3"/>
    <x v="4"/>
    <x v="1"/>
    <n v="126.95"/>
    <x v="1"/>
    <n v="634.75"/>
    <n v="126.95"/>
    <n v="507.8"/>
    <n v="29.14"/>
    <n v="145.69999999999999"/>
    <n v="362.1"/>
    <n v="71.307601417881003"/>
  </r>
  <r>
    <x v="144"/>
    <x v="144"/>
    <x v="135"/>
    <x v="1"/>
    <x v="0"/>
    <x v="3"/>
    <x v="4"/>
    <x v="8"/>
    <n v="138.72"/>
    <x v="4"/>
    <n v="971.04"/>
    <n v="48.552"/>
    <n v="922.48799999999903"/>
    <n v="47.01"/>
    <n v="329.07"/>
    <n v="593.41799999999898"/>
    <n v="64.327991258422799"/>
  </r>
  <r>
    <x v="145"/>
    <x v="145"/>
    <x v="123"/>
    <x v="1"/>
    <x v="0"/>
    <x v="0"/>
    <x v="3"/>
    <x v="1"/>
    <n v="63.43"/>
    <x v="2"/>
    <n v="317.14999999999998"/>
    <n v="0"/>
    <n v="317.14999999999998"/>
    <n v="30.13"/>
    <n v="150.65"/>
    <n v="166.49999999999901"/>
    <n v="52.4988175941983"/>
  </r>
  <r>
    <x v="146"/>
    <x v="146"/>
    <x v="136"/>
    <x v="0"/>
    <x v="1"/>
    <x v="3"/>
    <x v="0"/>
    <x v="0"/>
    <n v="68.16"/>
    <x v="2"/>
    <n v="136.32"/>
    <n v="0"/>
    <n v="136.32"/>
    <n v="82.23"/>
    <n v="164.46"/>
    <n v="-28.14"/>
    <n v="-20.642605633802798"/>
  </r>
  <r>
    <x v="147"/>
    <x v="147"/>
    <x v="137"/>
    <x v="1"/>
    <x v="0"/>
    <x v="0"/>
    <x v="1"/>
    <x v="4"/>
    <n v="102.27"/>
    <x v="1"/>
    <n v="920.43"/>
    <n v="184.08600000000001"/>
    <n v="736.34399999999903"/>
    <n v="105.71"/>
    <n v="951.39"/>
    <n v="-215.04599999999999"/>
    <n v="-29.204556565952799"/>
  </r>
  <r>
    <x v="148"/>
    <x v="148"/>
    <x v="138"/>
    <x v="1"/>
    <x v="0"/>
    <x v="2"/>
    <x v="4"/>
    <x v="3"/>
    <n v="214.41"/>
    <x v="1"/>
    <n v="857.64"/>
    <n v="171.52799999999999"/>
    <n v="686.11199999999997"/>
    <n v="79.78"/>
    <n v="319.12"/>
    <n v="366.991999999999"/>
    <n v="53.488643253579497"/>
  </r>
  <r>
    <x v="149"/>
    <x v="149"/>
    <x v="76"/>
    <x v="2"/>
    <x v="0"/>
    <x v="2"/>
    <x v="0"/>
    <x v="0"/>
    <n v="203.09"/>
    <x v="2"/>
    <n v="406.18"/>
    <n v="0"/>
    <n v="406.18"/>
    <n v="15.25"/>
    <n v="30.5"/>
    <n v="375.68"/>
    <n v="92.491013836230195"/>
  </r>
  <r>
    <x v="150"/>
    <x v="150"/>
    <x v="32"/>
    <x v="3"/>
    <x v="0"/>
    <x v="2"/>
    <x v="0"/>
    <x v="4"/>
    <n v="197.52"/>
    <x v="4"/>
    <n v="1777.68"/>
    <n v="88.884"/>
    <n v="1688.796"/>
    <n v="90.6"/>
    <n v="815.4"/>
    <n v="873.39599999999996"/>
    <n v="51.717081281575702"/>
  </r>
  <r>
    <x v="151"/>
    <x v="151"/>
    <x v="139"/>
    <x v="0"/>
    <x v="0"/>
    <x v="2"/>
    <x v="4"/>
    <x v="7"/>
    <n v="137.16"/>
    <x v="1"/>
    <n v="1097.28"/>
    <n v="219.45599999999999"/>
    <n v="877.82399999999996"/>
    <n v="108.37"/>
    <n v="866.96"/>
    <n v="10.8639999999999"/>
    <n v="1.2376057159521601"/>
  </r>
  <r>
    <x v="152"/>
    <x v="152"/>
    <x v="140"/>
    <x v="0"/>
    <x v="1"/>
    <x v="3"/>
    <x v="5"/>
    <x v="5"/>
    <n v="222.38"/>
    <x v="4"/>
    <n v="667.14"/>
    <n v="33.356999999999999"/>
    <n v="633.78300000000002"/>
    <n v="30.64"/>
    <n v="91.92"/>
    <n v="541.86300000000006"/>
    <n v="85.496613194105805"/>
  </r>
  <r>
    <x v="153"/>
    <x v="153"/>
    <x v="141"/>
    <x v="1"/>
    <x v="1"/>
    <x v="0"/>
    <x v="2"/>
    <x v="4"/>
    <n v="20.7"/>
    <x v="3"/>
    <n v="186.29999999999899"/>
    <n v="18.63"/>
    <n v="167.67"/>
    <n v="75.25"/>
    <n v="677.25"/>
    <n v="-509.58"/>
    <n v="-303.91841116478798"/>
  </r>
  <r>
    <x v="154"/>
    <x v="154"/>
    <x v="142"/>
    <x v="1"/>
    <x v="1"/>
    <x v="2"/>
    <x v="5"/>
    <x v="4"/>
    <n v="50.19"/>
    <x v="3"/>
    <n v="451.71"/>
    <n v="45.170999999999999"/>
    <n v="406.53899999999999"/>
    <n v="145.76"/>
    <n v="1311.84"/>
    <n v="-905.30099999999902"/>
    <n v="-222.68490845896699"/>
  </r>
  <r>
    <x v="155"/>
    <x v="155"/>
    <x v="143"/>
    <x v="0"/>
    <x v="0"/>
    <x v="2"/>
    <x v="6"/>
    <x v="8"/>
    <n v="119.68"/>
    <x v="0"/>
    <n v="837.76"/>
    <n v="125.66399999999901"/>
    <n v="712.096"/>
    <n v="124.93"/>
    <n v="874.51"/>
    <n v="-162.41399999999999"/>
    <n v="-22.807879836426501"/>
  </r>
  <r>
    <x v="156"/>
    <x v="156"/>
    <x v="144"/>
    <x v="0"/>
    <x v="1"/>
    <x v="2"/>
    <x v="4"/>
    <x v="8"/>
    <n v="196.24"/>
    <x v="0"/>
    <n v="1373.68"/>
    <n v="206.05199999999999"/>
    <n v="1167.6279999999999"/>
    <n v="71.11"/>
    <n v="497.77"/>
    <n v="669.85799999999995"/>
    <n v="57.369127838660901"/>
  </r>
  <r>
    <x v="157"/>
    <x v="157"/>
    <x v="145"/>
    <x v="2"/>
    <x v="1"/>
    <x v="2"/>
    <x v="4"/>
    <x v="6"/>
    <n v="122.93"/>
    <x v="0"/>
    <n v="737.58"/>
    <n v="110.637"/>
    <n v="626.94299999999998"/>
    <n v="42.57"/>
    <n v="255.42"/>
    <n v="371.522999999999"/>
    <n v="59.259454208755798"/>
  </r>
  <r>
    <x v="158"/>
    <x v="158"/>
    <x v="146"/>
    <x v="3"/>
    <x v="0"/>
    <x v="3"/>
    <x v="3"/>
    <x v="5"/>
    <n v="248.77"/>
    <x v="2"/>
    <n v="746.31"/>
    <n v="0"/>
    <n v="746.31"/>
    <n v="28.24"/>
    <n v="84.72"/>
    <n v="661.59"/>
    <n v="88.648148892551305"/>
  </r>
  <r>
    <x v="159"/>
    <x v="159"/>
    <x v="147"/>
    <x v="1"/>
    <x v="0"/>
    <x v="3"/>
    <x v="5"/>
    <x v="5"/>
    <n v="238.86"/>
    <x v="0"/>
    <n v="716.58"/>
    <n v="107.48699999999999"/>
    <n v="609.09299999999996"/>
    <n v="11.65"/>
    <n v="34.950000000000003"/>
    <n v="574.14300000000003"/>
    <n v="94.261959996256707"/>
  </r>
  <r>
    <x v="160"/>
    <x v="160"/>
    <x v="148"/>
    <x v="3"/>
    <x v="1"/>
    <x v="3"/>
    <x v="5"/>
    <x v="1"/>
    <n v="226.48"/>
    <x v="2"/>
    <n v="1132.3999999999901"/>
    <n v="0"/>
    <n v="1132.3999999999901"/>
    <n v="38.99"/>
    <n v="194.95"/>
    <n v="937.44999999999902"/>
    <n v="82.784351819145101"/>
  </r>
  <r>
    <x v="161"/>
    <x v="161"/>
    <x v="149"/>
    <x v="3"/>
    <x v="0"/>
    <x v="1"/>
    <x v="4"/>
    <x v="7"/>
    <n v="206.58"/>
    <x v="0"/>
    <n v="1652.64"/>
    <n v="247.89599999999999"/>
    <n v="1404.7439999999999"/>
    <n v="75.81"/>
    <n v="606.48"/>
    <n v="798.26400000000001"/>
    <n v="56.826297175855501"/>
  </r>
  <r>
    <x v="162"/>
    <x v="162"/>
    <x v="64"/>
    <x v="3"/>
    <x v="1"/>
    <x v="2"/>
    <x v="3"/>
    <x v="4"/>
    <n v="77.650000000000006"/>
    <x v="4"/>
    <n v="698.85"/>
    <n v="34.942500000000003"/>
    <n v="663.90750000000003"/>
    <n v="77.290000000000006"/>
    <n v="695.61"/>
    <n v="-31.702499999999901"/>
    <n v="-4.7751381028230497"/>
  </r>
  <r>
    <x v="163"/>
    <x v="163"/>
    <x v="150"/>
    <x v="1"/>
    <x v="0"/>
    <x v="3"/>
    <x v="0"/>
    <x v="6"/>
    <n v="167"/>
    <x v="0"/>
    <n v="1002"/>
    <n v="150.29999999999899"/>
    <n v="851.7"/>
    <n v="30.03"/>
    <n v="180.18"/>
    <n v="671.52"/>
    <n v="78.844663613948498"/>
  </r>
  <r>
    <x v="164"/>
    <x v="164"/>
    <x v="151"/>
    <x v="3"/>
    <x v="1"/>
    <x v="2"/>
    <x v="1"/>
    <x v="8"/>
    <n v="22.05"/>
    <x v="0"/>
    <n v="154.35"/>
    <n v="23.1525"/>
    <n v="131.19749999999999"/>
    <n v="70.89"/>
    <n v="496.23"/>
    <n v="-365.03250000000003"/>
    <n v="-278.23129251700601"/>
  </r>
  <r>
    <x v="165"/>
    <x v="165"/>
    <x v="152"/>
    <x v="3"/>
    <x v="0"/>
    <x v="1"/>
    <x v="6"/>
    <x v="5"/>
    <n v="206.63"/>
    <x v="0"/>
    <n v="619.89"/>
    <n v="92.983499999999907"/>
    <n v="526.90650000000005"/>
    <n v="68.959999999999994"/>
    <n v="206.88"/>
    <n v="320.0265"/>
    <n v="60.736866977347901"/>
  </r>
  <r>
    <x v="166"/>
    <x v="166"/>
    <x v="153"/>
    <x v="2"/>
    <x v="0"/>
    <x v="3"/>
    <x v="2"/>
    <x v="3"/>
    <n v="87.63"/>
    <x v="2"/>
    <n v="350.52"/>
    <n v="0"/>
    <n v="350.52"/>
    <n v="122.38"/>
    <n v="489.52"/>
    <n v="-139"/>
    <n v="-39.655369165810797"/>
  </r>
  <r>
    <x v="167"/>
    <x v="167"/>
    <x v="154"/>
    <x v="2"/>
    <x v="1"/>
    <x v="0"/>
    <x v="3"/>
    <x v="4"/>
    <n v="56.96"/>
    <x v="1"/>
    <n v="512.64"/>
    <n v="102.52800000000001"/>
    <n v="410.111999999999"/>
    <n v="138.59"/>
    <n v="1247.31"/>
    <n v="-837.19799999999998"/>
    <n v="-204.13886938202199"/>
  </r>
  <r>
    <x v="168"/>
    <x v="168"/>
    <x v="155"/>
    <x v="3"/>
    <x v="1"/>
    <x v="0"/>
    <x v="3"/>
    <x v="5"/>
    <n v="141.75"/>
    <x v="0"/>
    <n v="425.25"/>
    <n v="63.787499999999902"/>
    <n v="361.46249999999998"/>
    <n v="143.81"/>
    <n v="431.43"/>
    <n v="-69.967500000000001"/>
    <n v="-19.356779748936599"/>
  </r>
  <r>
    <x v="169"/>
    <x v="169"/>
    <x v="156"/>
    <x v="2"/>
    <x v="1"/>
    <x v="3"/>
    <x v="0"/>
    <x v="3"/>
    <n v="156.47"/>
    <x v="3"/>
    <n v="625.88"/>
    <n v="62.588000000000001"/>
    <n v="563.29200000000003"/>
    <n v="75.62"/>
    <n v="302.48"/>
    <n v="260.81200000000001"/>
    <n v="46.301385427096399"/>
  </r>
  <r>
    <x v="170"/>
    <x v="170"/>
    <x v="157"/>
    <x v="0"/>
    <x v="1"/>
    <x v="3"/>
    <x v="5"/>
    <x v="3"/>
    <n v="108.09"/>
    <x v="0"/>
    <n v="432.36"/>
    <n v="64.853999999999999"/>
    <n v="367.50599999999997"/>
    <n v="128.38999999999999"/>
    <n v="513.55999999999995"/>
    <n v="-146.05399999999901"/>
    <n v="-39.741936186075797"/>
  </r>
  <r>
    <x v="171"/>
    <x v="171"/>
    <x v="158"/>
    <x v="1"/>
    <x v="0"/>
    <x v="2"/>
    <x v="2"/>
    <x v="8"/>
    <n v="148"/>
    <x v="3"/>
    <n v="1036"/>
    <n v="103.6"/>
    <n v="932.4"/>
    <n v="94.93"/>
    <n v="664.51"/>
    <n v="267.89"/>
    <n v="28.731231231231199"/>
  </r>
  <r>
    <x v="172"/>
    <x v="172"/>
    <x v="109"/>
    <x v="3"/>
    <x v="1"/>
    <x v="1"/>
    <x v="1"/>
    <x v="1"/>
    <n v="210.58"/>
    <x v="1"/>
    <n v="1052.9000000000001"/>
    <n v="210.58"/>
    <n v="842.32"/>
    <n v="19.75"/>
    <n v="98.75"/>
    <n v="743.57"/>
    <n v="88.276427011112105"/>
  </r>
  <r>
    <x v="173"/>
    <x v="173"/>
    <x v="159"/>
    <x v="3"/>
    <x v="1"/>
    <x v="3"/>
    <x v="3"/>
    <x v="0"/>
    <n v="84.9"/>
    <x v="3"/>
    <n v="169.8"/>
    <n v="16.98"/>
    <n v="152.82"/>
    <n v="15.57"/>
    <n v="31.14"/>
    <n v="121.68"/>
    <n v="79.623085983509995"/>
  </r>
  <r>
    <x v="174"/>
    <x v="174"/>
    <x v="160"/>
    <x v="2"/>
    <x v="1"/>
    <x v="0"/>
    <x v="4"/>
    <x v="2"/>
    <n v="142.79"/>
    <x v="0"/>
    <n v="142.79"/>
    <n v="21.418499999999899"/>
    <n v="121.3715"/>
    <n v="92.74"/>
    <n v="92.74"/>
    <n v="28.631499999999999"/>
    <n v="23.589969638671299"/>
  </r>
  <r>
    <x v="175"/>
    <x v="175"/>
    <x v="62"/>
    <x v="1"/>
    <x v="1"/>
    <x v="3"/>
    <x v="2"/>
    <x v="7"/>
    <n v="143.27000000000001"/>
    <x v="1"/>
    <n v="1146.1600000000001"/>
    <n v="229.232"/>
    <n v="916.928"/>
    <n v="103.84"/>
    <n v="830.72"/>
    <n v="86.207999999999998"/>
    <n v="9.4018287150136093"/>
  </r>
  <r>
    <x v="176"/>
    <x v="176"/>
    <x v="161"/>
    <x v="3"/>
    <x v="1"/>
    <x v="2"/>
    <x v="3"/>
    <x v="7"/>
    <n v="85.06"/>
    <x v="4"/>
    <n v="680.48"/>
    <n v="34.024000000000001"/>
    <n v="646.45600000000002"/>
    <n v="99.49"/>
    <n v="795.92"/>
    <n v="-149.463999999999"/>
    <n v="-23.120521736978201"/>
  </r>
  <r>
    <x v="177"/>
    <x v="177"/>
    <x v="162"/>
    <x v="2"/>
    <x v="1"/>
    <x v="3"/>
    <x v="6"/>
    <x v="8"/>
    <n v="127.31"/>
    <x v="0"/>
    <n v="891.17"/>
    <n v="133.6755"/>
    <n v="757.49450000000002"/>
    <n v="75.17"/>
    <n v="526.19000000000005"/>
    <n v="231.304499999999"/>
    <n v="30.53546923443"/>
  </r>
  <r>
    <x v="178"/>
    <x v="178"/>
    <x v="163"/>
    <x v="1"/>
    <x v="0"/>
    <x v="2"/>
    <x v="2"/>
    <x v="8"/>
    <n v="75.78"/>
    <x v="0"/>
    <n v="530.46"/>
    <n v="79.569000000000003"/>
    <n v="450.89100000000002"/>
    <n v="90.94"/>
    <n v="636.57999999999902"/>
    <n v="-185.688999999999"/>
    <n v="-41.182680514802797"/>
  </r>
  <r>
    <x v="179"/>
    <x v="179"/>
    <x v="164"/>
    <x v="0"/>
    <x v="0"/>
    <x v="1"/>
    <x v="3"/>
    <x v="3"/>
    <n v="108.87"/>
    <x v="3"/>
    <n v="435.48"/>
    <n v="43.548000000000002"/>
    <n v="391.93200000000002"/>
    <n v="101.15"/>
    <n v="404.6"/>
    <n v="-12.667999999999999"/>
    <n v="-3.2321933396609599"/>
  </r>
  <r>
    <x v="180"/>
    <x v="180"/>
    <x v="133"/>
    <x v="2"/>
    <x v="0"/>
    <x v="2"/>
    <x v="2"/>
    <x v="4"/>
    <n v="77.73"/>
    <x v="2"/>
    <n v="699.57"/>
    <n v="0"/>
    <n v="699.57"/>
    <n v="107.01"/>
    <n v="963.09"/>
    <n v="-263.52"/>
    <n v="-37.668853724430697"/>
  </r>
  <r>
    <x v="181"/>
    <x v="181"/>
    <x v="165"/>
    <x v="2"/>
    <x v="1"/>
    <x v="2"/>
    <x v="6"/>
    <x v="3"/>
    <n v="84.75"/>
    <x v="4"/>
    <n v="339"/>
    <n v="16.95"/>
    <n v="322.05"/>
    <n v="25.87"/>
    <n v="103.48"/>
    <n v="218.57"/>
    <n v="67.868343424933997"/>
  </r>
  <r>
    <x v="182"/>
    <x v="182"/>
    <x v="166"/>
    <x v="2"/>
    <x v="1"/>
    <x v="2"/>
    <x v="3"/>
    <x v="5"/>
    <n v="193.29"/>
    <x v="4"/>
    <n v="579.87"/>
    <n v="28.993500000000001"/>
    <n v="550.87649999999996"/>
    <n v="74.03"/>
    <n v="222.09"/>
    <n v="328.78649999999902"/>
    <n v="59.684248647382802"/>
  </r>
  <r>
    <x v="183"/>
    <x v="183"/>
    <x v="167"/>
    <x v="3"/>
    <x v="1"/>
    <x v="2"/>
    <x v="3"/>
    <x v="5"/>
    <n v="246.74"/>
    <x v="3"/>
    <n v="740.22"/>
    <n v="74.022000000000006"/>
    <n v="666.19799999999998"/>
    <n v="53.01"/>
    <n v="159.03"/>
    <n v="507.16800000000001"/>
    <n v="76.128718489097807"/>
  </r>
  <r>
    <x v="184"/>
    <x v="184"/>
    <x v="168"/>
    <x v="0"/>
    <x v="0"/>
    <x v="0"/>
    <x v="2"/>
    <x v="7"/>
    <n v="209.82"/>
    <x v="4"/>
    <n v="1678.56"/>
    <n v="83.927999999999997"/>
    <n v="1594.6320000000001"/>
    <n v="75.11"/>
    <n v="600.88"/>
    <n v="993.75199999999995"/>
    <n v="62.318578831981299"/>
  </r>
  <r>
    <x v="185"/>
    <x v="185"/>
    <x v="169"/>
    <x v="3"/>
    <x v="1"/>
    <x v="1"/>
    <x v="2"/>
    <x v="5"/>
    <n v="200.65"/>
    <x v="4"/>
    <n v="601.95000000000005"/>
    <n v="30.0975"/>
    <n v="571.85249999999996"/>
    <n v="62.04"/>
    <n v="186.12"/>
    <n v="385.73250000000002"/>
    <n v="67.453145697535604"/>
  </r>
  <r>
    <x v="186"/>
    <x v="186"/>
    <x v="170"/>
    <x v="2"/>
    <x v="0"/>
    <x v="2"/>
    <x v="1"/>
    <x v="8"/>
    <n v="137.76"/>
    <x v="4"/>
    <n v="964.31999999999903"/>
    <n v="48.216000000000001"/>
    <n v="916.10399999999902"/>
    <n v="15.57"/>
    <n v="108.99"/>
    <n v="807.11399999999901"/>
    <n v="88.102879149092203"/>
  </r>
  <r>
    <x v="187"/>
    <x v="187"/>
    <x v="171"/>
    <x v="0"/>
    <x v="1"/>
    <x v="2"/>
    <x v="5"/>
    <x v="1"/>
    <n v="194.53"/>
    <x v="2"/>
    <n v="972.65"/>
    <n v="0"/>
    <n v="972.65"/>
    <n v="119.54"/>
    <n v="597.70000000000005"/>
    <n v="374.94999999999902"/>
    <n v="38.5493240117205"/>
  </r>
  <r>
    <x v="188"/>
    <x v="188"/>
    <x v="172"/>
    <x v="1"/>
    <x v="0"/>
    <x v="0"/>
    <x v="0"/>
    <x v="0"/>
    <n v="248.8"/>
    <x v="1"/>
    <n v="497.6"/>
    <n v="99.52"/>
    <n v="398.08"/>
    <n v="80.69"/>
    <n v="161.38"/>
    <n v="236.7"/>
    <n v="59.4604099678456"/>
  </r>
  <r>
    <x v="189"/>
    <x v="189"/>
    <x v="173"/>
    <x v="1"/>
    <x v="0"/>
    <x v="3"/>
    <x v="2"/>
    <x v="2"/>
    <n v="77.180000000000007"/>
    <x v="2"/>
    <n v="77.180000000000007"/>
    <n v="0"/>
    <n v="77.180000000000007"/>
    <n v="131.83000000000001"/>
    <n v="131.83000000000001"/>
    <n v="-54.65"/>
    <n v="-70.808499611298203"/>
  </r>
  <r>
    <x v="190"/>
    <x v="190"/>
    <x v="174"/>
    <x v="1"/>
    <x v="1"/>
    <x v="0"/>
    <x v="6"/>
    <x v="3"/>
    <n v="217.78"/>
    <x v="3"/>
    <n v="871.12"/>
    <n v="87.111999999999995"/>
    <n v="784.00800000000004"/>
    <n v="11.26"/>
    <n v="45.04"/>
    <n v="738.96799999999996"/>
    <n v="94.255160661625894"/>
  </r>
  <r>
    <x v="191"/>
    <x v="191"/>
    <x v="76"/>
    <x v="0"/>
    <x v="1"/>
    <x v="2"/>
    <x v="5"/>
    <x v="1"/>
    <n v="62.44"/>
    <x v="0"/>
    <n v="312.2"/>
    <n v="46.83"/>
    <n v="265.37"/>
    <n v="18.98"/>
    <n v="94.9"/>
    <n v="170.47"/>
    <n v="64.238610242303196"/>
  </r>
  <r>
    <x v="192"/>
    <x v="192"/>
    <x v="118"/>
    <x v="1"/>
    <x v="0"/>
    <x v="0"/>
    <x v="1"/>
    <x v="7"/>
    <n v="82.37"/>
    <x v="4"/>
    <n v="658.96"/>
    <n v="32.948"/>
    <n v="626.01199999999994"/>
    <n v="23.28"/>
    <n v="186.24"/>
    <n v="439.77199999999999"/>
    <n v="70.249771569874"/>
  </r>
  <r>
    <x v="193"/>
    <x v="193"/>
    <x v="175"/>
    <x v="2"/>
    <x v="0"/>
    <x v="1"/>
    <x v="1"/>
    <x v="1"/>
    <n v="142.05000000000001"/>
    <x v="4"/>
    <n v="710.25"/>
    <n v="35.512500000000003"/>
    <n v="674.73749999999995"/>
    <n v="131.16999999999999"/>
    <n v="655.849999999999"/>
    <n v="18.887499999999999"/>
    <n v="2.7992367402137899"/>
  </r>
  <r>
    <x v="194"/>
    <x v="194"/>
    <x v="176"/>
    <x v="3"/>
    <x v="1"/>
    <x v="0"/>
    <x v="1"/>
    <x v="3"/>
    <n v="107.22"/>
    <x v="4"/>
    <n v="428.88"/>
    <n v="21.443999999999999"/>
    <n v="407.43599999999998"/>
    <n v="78.489999999999995"/>
    <n v="313.95999999999998"/>
    <n v="93.475999999999999"/>
    <n v="22.942498944619501"/>
  </r>
  <r>
    <x v="195"/>
    <x v="195"/>
    <x v="177"/>
    <x v="2"/>
    <x v="1"/>
    <x v="1"/>
    <x v="0"/>
    <x v="3"/>
    <n v="144.21"/>
    <x v="0"/>
    <n v="576.84"/>
    <n v="86.525999999999996"/>
    <n v="490.31400000000002"/>
    <n v="113.83"/>
    <n v="455.32"/>
    <n v="34.994"/>
    <n v="7.13705910906073"/>
  </r>
  <r>
    <x v="196"/>
    <x v="196"/>
    <x v="178"/>
    <x v="3"/>
    <x v="0"/>
    <x v="3"/>
    <x v="1"/>
    <x v="7"/>
    <n v="248.83"/>
    <x v="2"/>
    <n v="1990.64"/>
    <n v="0"/>
    <n v="1990.64"/>
    <n v="16.190000000000001"/>
    <n v="129.52000000000001"/>
    <n v="1861.12"/>
    <n v="93.493549813125398"/>
  </r>
  <r>
    <x v="197"/>
    <x v="197"/>
    <x v="179"/>
    <x v="2"/>
    <x v="0"/>
    <x v="2"/>
    <x v="4"/>
    <x v="2"/>
    <n v="121.39"/>
    <x v="1"/>
    <n v="121.39"/>
    <n v="24.277999999999999"/>
    <n v="97.111999999999995"/>
    <n v="113.19"/>
    <n v="113.19"/>
    <n v="-16.077999999999999"/>
    <n v="-16.556141362550399"/>
  </r>
  <r>
    <x v="198"/>
    <x v="198"/>
    <x v="180"/>
    <x v="2"/>
    <x v="0"/>
    <x v="3"/>
    <x v="2"/>
    <x v="2"/>
    <n v="121.62"/>
    <x v="3"/>
    <n v="121.62"/>
    <n v="12.162000000000001"/>
    <n v="109.458"/>
    <n v="16.239999999999998"/>
    <n v="16.239999999999998"/>
    <n v="93.218000000000004"/>
    <n v="85.163258966909595"/>
  </r>
  <r>
    <x v="199"/>
    <x v="199"/>
    <x v="181"/>
    <x v="2"/>
    <x v="0"/>
    <x v="0"/>
    <x v="1"/>
    <x v="8"/>
    <n v="228.09"/>
    <x v="0"/>
    <n v="1596.63"/>
    <n v="239.49449999999999"/>
    <n v="1357.1355000000001"/>
    <n v="137"/>
    <n v="959"/>
    <n v="398.13549999999998"/>
    <n v="29.336459034488399"/>
  </r>
  <r>
    <x v="200"/>
    <x v="200"/>
    <x v="182"/>
    <x v="2"/>
    <x v="1"/>
    <x v="1"/>
    <x v="4"/>
    <x v="1"/>
    <n v="158.68"/>
    <x v="0"/>
    <n v="793.4"/>
    <n v="119.01"/>
    <n v="674.39"/>
    <n v="79.260000000000005"/>
    <n v="396.3"/>
    <n v="278.08999999999997"/>
    <n v="41.235783448746197"/>
  </r>
  <r>
    <x v="201"/>
    <x v="201"/>
    <x v="183"/>
    <x v="0"/>
    <x v="0"/>
    <x v="2"/>
    <x v="6"/>
    <x v="3"/>
    <n v="91.19"/>
    <x v="1"/>
    <n v="364.76"/>
    <n v="72.951999999999998"/>
    <n v="291.80799999999999"/>
    <n v="144.11000000000001"/>
    <n v="576.44000000000005"/>
    <n v="-284.63200000000001"/>
    <n v="-97.5408487772782"/>
  </r>
  <r>
    <x v="202"/>
    <x v="202"/>
    <x v="184"/>
    <x v="1"/>
    <x v="1"/>
    <x v="0"/>
    <x v="0"/>
    <x v="1"/>
    <n v="209.99"/>
    <x v="0"/>
    <n v="1049.95"/>
    <n v="157.49250000000001"/>
    <n v="892.45749999999998"/>
    <n v="97.09"/>
    <n v="485.45"/>
    <n v="407.00749999999903"/>
    <n v="45.605252911203003"/>
  </r>
  <r>
    <x v="203"/>
    <x v="203"/>
    <x v="185"/>
    <x v="3"/>
    <x v="1"/>
    <x v="2"/>
    <x v="0"/>
    <x v="4"/>
    <n v="202.26"/>
    <x v="2"/>
    <n v="1820.34"/>
    <n v="0"/>
    <n v="1820.34"/>
    <n v="92.24"/>
    <n v="830.16"/>
    <n v="990.18"/>
    <n v="54.395332740037503"/>
  </r>
  <r>
    <x v="204"/>
    <x v="204"/>
    <x v="186"/>
    <x v="1"/>
    <x v="0"/>
    <x v="0"/>
    <x v="4"/>
    <x v="3"/>
    <n v="189.58"/>
    <x v="1"/>
    <n v="758.32"/>
    <n v="151.66399999999999"/>
    <n v="606.65599999999995"/>
    <n v="29.18"/>
    <n v="116.72"/>
    <n v="489.93599999999998"/>
    <n v="80.760101276505907"/>
  </r>
  <r>
    <x v="205"/>
    <x v="205"/>
    <x v="35"/>
    <x v="3"/>
    <x v="0"/>
    <x v="0"/>
    <x v="0"/>
    <x v="4"/>
    <n v="79.34"/>
    <x v="3"/>
    <n v="714.06"/>
    <n v="71.406000000000006"/>
    <n v="642.654"/>
    <n v="96.65"/>
    <n v="869.85"/>
    <n v="-227.196"/>
    <n v="-35.352771475786298"/>
  </r>
  <r>
    <x v="206"/>
    <x v="206"/>
    <x v="187"/>
    <x v="2"/>
    <x v="1"/>
    <x v="3"/>
    <x v="0"/>
    <x v="3"/>
    <n v="52.03"/>
    <x v="1"/>
    <n v="208.12"/>
    <n v="41.624000000000002"/>
    <n v="166.49600000000001"/>
    <n v="114.32"/>
    <n v="457.28"/>
    <n v="-290.78399999999999"/>
    <n v="-174.649240822602"/>
  </r>
  <r>
    <x v="207"/>
    <x v="207"/>
    <x v="188"/>
    <x v="0"/>
    <x v="0"/>
    <x v="1"/>
    <x v="4"/>
    <x v="5"/>
    <n v="142.15"/>
    <x v="1"/>
    <n v="426.45"/>
    <n v="85.29"/>
    <n v="341.16"/>
    <n v="93.5"/>
    <n v="280.5"/>
    <n v="60.66"/>
    <n v="17.780513542032999"/>
  </r>
  <r>
    <x v="208"/>
    <x v="208"/>
    <x v="37"/>
    <x v="2"/>
    <x v="0"/>
    <x v="3"/>
    <x v="2"/>
    <x v="0"/>
    <n v="23.36"/>
    <x v="0"/>
    <n v="46.72"/>
    <n v="7.008"/>
    <n v="39.711999999999897"/>
    <n v="104.95"/>
    <n v="209.9"/>
    <n v="-170.18799999999999"/>
    <n v="-428.55560032232"/>
  </r>
  <r>
    <x v="209"/>
    <x v="209"/>
    <x v="189"/>
    <x v="1"/>
    <x v="0"/>
    <x v="1"/>
    <x v="3"/>
    <x v="8"/>
    <n v="164.31"/>
    <x v="0"/>
    <n v="1150.17"/>
    <n v="172.52549999999999"/>
    <n v="977.64449999999999"/>
    <n v="133.19999999999999"/>
    <n v="932.39999999999895"/>
    <n v="45.244500000000201"/>
    <n v="4.6279092246721802"/>
  </r>
  <r>
    <x v="210"/>
    <x v="210"/>
    <x v="131"/>
    <x v="0"/>
    <x v="1"/>
    <x v="1"/>
    <x v="0"/>
    <x v="7"/>
    <n v="114.72"/>
    <x v="0"/>
    <n v="917.76"/>
    <n v="137.66399999999999"/>
    <n v="780.096"/>
    <n v="106.02"/>
    <n v="848.16"/>
    <n v="-68.063999999999893"/>
    <n v="-8.7250799901550504"/>
  </r>
  <r>
    <x v="211"/>
    <x v="211"/>
    <x v="190"/>
    <x v="0"/>
    <x v="1"/>
    <x v="1"/>
    <x v="5"/>
    <x v="8"/>
    <n v="180.49"/>
    <x v="2"/>
    <n v="1263.43"/>
    <n v="0"/>
    <n v="1263.43"/>
    <n v="98.18"/>
    <n v="687.26"/>
    <n v="576.16999999999996"/>
    <n v="45.603634550390602"/>
  </r>
  <r>
    <x v="212"/>
    <x v="212"/>
    <x v="191"/>
    <x v="1"/>
    <x v="0"/>
    <x v="3"/>
    <x v="1"/>
    <x v="5"/>
    <n v="172.73"/>
    <x v="1"/>
    <n v="518.18999999999903"/>
    <n v="103.637999999999"/>
    <n v="414.551999999999"/>
    <n v="81.489999999999995"/>
    <n v="244.469999999999"/>
    <n v="170.08199999999999"/>
    <n v="41.027904822555399"/>
  </r>
  <r>
    <x v="213"/>
    <x v="213"/>
    <x v="192"/>
    <x v="1"/>
    <x v="0"/>
    <x v="3"/>
    <x v="0"/>
    <x v="1"/>
    <n v="82.92"/>
    <x v="0"/>
    <n v="414.6"/>
    <n v="62.19"/>
    <n v="352.41"/>
    <n v="71.03"/>
    <n v="355.15"/>
    <n v="-2.73999999999995"/>
    <n v="-0.77750347606479697"/>
  </r>
  <r>
    <x v="214"/>
    <x v="214"/>
    <x v="193"/>
    <x v="0"/>
    <x v="1"/>
    <x v="1"/>
    <x v="5"/>
    <x v="0"/>
    <n v="39.01"/>
    <x v="1"/>
    <n v="78.02"/>
    <n v="15.603999999999999"/>
    <n v="62.415999999999997"/>
    <n v="108.35"/>
    <n v="216.7"/>
    <n v="-154.28399999999999"/>
    <n v="-247.18661881568801"/>
  </r>
  <r>
    <x v="215"/>
    <x v="215"/>
    <x v="183"/>
    <x v="3"/>
    <x v="1"/>
    <x v="3"/>
    <x v="5"/>
    <x v="6"/>
    <n v="242.98"/>
    <x v="2"/>
    <n v="1457.8799999999901"/>
    <n v="0"/>
    <n v="1457.8799999999901"/>
    <n v="125.07"/>
    <n v="750.42"/>
    <n v="707.45999999999901"/>
    <n v="48.526627705983998"/>
  </r>
  <r>
    <x v="216"/>
    <x v="216"/>
    <x v="194"/>
    <x v="0"/>
    <x v="0"/>
    <x v="3"/>
    <x v="1"/>
    <x v="4"/>
    <n v="13.57"/>
    <x v="4"/>
    <n v="122.13"/>
    <n v="6.1064999999999996"/>
    <n v="116.0235"/>
    <n v="110.63"/>
    <n v="995.67"/>
    <n v="-879.64649999999995"/>
    <n v="-758.16235504014196"/>
  </r>
  <r>
    <x v="217"/>
    <x v="217"/>
    <x v="195"/>
    <x v="3"/>
    <x v="1"/>
    <x v="3"/>
    <x v="3"/>
    <x v="4"/>
    <n v="103.4"/>
    <x v="3"/>
    <n v="930.6"/>
    <n v="93.06"/>
    <n v="837.54"/>
    <n v="19.52"/>
    <n v="175.68"/>
    <n v="661.85999999999899"/>
    <n v="79.024285407264102"/>
  </r>
  <r>
    <x v="218"/>
    <x v="218"/>
    <x v="196"/>
    <x v="3"/>
    <x v="1"/>
    <x v="0"/>
    <x v="5"/>
    <x v="6"/>
    <n v="137.47"/>
    <x v="1"/>
    <n v="824.81999999999903"/>
    <n v="164.964"/>
    <n v="659.85599999999999"/>
    <n v="42.16"/>
    <n v="252.95999999999901"/>
    <n v="406.89600000000002"/>
    <n v="61.6643631337746"/>
  </r>
  <r>
    <x v="219"/>
    <x v="219"/>
    <x v="114"/>
    <x v="1"/>
    <x v="1"/>
    <x v="1"/>
    <x v="5"/>
    <x v="4"/>
    <n v="126.72"/>
    <x v="0"/>
    <n v="1140.48"/>
    <n v="171.072"/>
    <n v="969.40800000000002"/>
    <n v="94"/>
    <n v="846"/>
    <n v="123.408"/>
    <n v="12.7302436125965"/>
  </r>
  <r>
    <x v="220"/>
    <x v="220"/>
    <x v="119"/>
    <x v="3"/>
    <x v="0"/>
    <x v="1"/>
    <x v="3"/>
    <x v="5"/>
    <n v="193.23"/>
    <x v="4"/>
    <n v="579.68999999999903"/>
    <n v="28.984499999999901"/>
    <n v="550.70549999999901"/>
    <n v="87.26"/>
    <n v="261.77999999999997"/>
    <n v="288.92549999999898"/>
    <n v="52.464611303137502"/>
  </r>
  <r>
    <x v="221"/>
    <x v="221"/>
    <x v="197"/>
    <x v="1"/>
    <x v="0"/>
    <x v="0"/>
    <x v="3"/>
    <x v="3"/>
    <n v="233.69"/>
    <x v="1"/>
    <n v="934.76"/>
    <n v="186.952"/>
    <n v="747.80799999999999"/>
    <n v="138.05000000000001"/>
    <n v="552.20000000000005"/>
    <n v="195.60799999999901"/>
    <n v="26.157516367837701"/>
  </r>
  <r>
    <x v="222"/>
    <x v="222"/>
    <x v="198"/>
    <x v="0"/>
    <x v="1"/>
    <x v="2"/>
    <x v="2"/>
    <x v="1"/>
    <n v="199.67"/>
    <x v="3"/>
    <n v="998.349999999999"/>
    <n v="99.834999999999994"/>
    <n v="898.51499999999896"/>
    <n v="147.58000000000001"/>
    <n v="737.9"/>
    <n v="160.61499999999899"/>
    <n v="17.875605860781299"/>
  </r>
  <r>
    <x v="223"/>
    <x v="223"/>
    <x v="199"/>
    <x v="2"/>
    <x v="0"/>
    <x v="0"/>
    <x v="2"/>
    <x v="7"/>
    <n v="196.38"/>
    <x v="2"/>
    <n v="1571.04"/>
    <n v="0"/>
    <n v="1571.04"/>
    <n v="134.88999999999999"/>
    <n v="1079.1199999999999"/>
    <n v="491.92"/>
    <n v="31.311742539973501"/>
  </r>
  <r>
    <x v="224"/>
    <x v="224"/>
    <x v="200"/>
    <x v="1"/>
    <x v="0"/>
    <x v="1"/>
    <x v="4"/>
    <x v="1"/>
    <n v="101.4"/>
    <x v="3"/>
    <n v="507"/>
    <n v="50.7"/>
    <n v="456.3"/>
    <n v="92.84"/>
    <n v="464.2"/>
    <n v="-7.9000000000000297"/>
    <n v="-1.7313171159325"/>
  </r>
  <r>
    <x v="225"/>
    <x v="225"/>
    <x v="59"/>
    <x v="2"/>
    <x v="0"/>
    <x v="1"/>
    <x v="0"/>
    <x v="8"/>
    <n v="217"/>
    <x v="0"/>
    <n v="1519"/>
    <n v="227.85"/>
    <n v="1291.1500000000001"/>
    <n v="109.32"/>
    <n v="765.24"/>
    <n v="525.91"/>
    <n v="40.731905665492"/>
  </r>
  <r>
    <x v="226"/>
    <x v="226"/>
    <x v="201"/>
    <x v="0"/>
    <x v="1"/>
    <x v="2"/>
    <x v="0"/>
    <x v="6"/>
    <n v="187.55"/>
    <x v="3"/>
    <n v="1125.3"/>
    <n v="112.53"/>
    <n v="1012.77"/>
    <n v="128.06"/>
    <n v="768.36"/>
    <n v="244.41"/>
    <n v="24.132823839568701"/>
  </r>
  <r>
    <x v="227"/>
    <x v="227"/>
    <x v="116"/>
    <x v="2"/>
    <x v="1"/>
    <x v="0"/>
    <x v="0"/>
    <x v="1"/>
    <n v="86.37"/>
    <x v="2"/>
    <n v="431.85"/>
    <n v="0"/>
    <n v="431.85"/>
    <n v="26.21"/>
    <n v="131.05000000000001"/>
    <n v="300.8"/>
    <n v="69.653814982053902"/>
  </r>
  <r>
    <x v="228"/>
    <x v="228"/>
    <x v="202"/>
    <x v="0"/>
    <x v="1"/>
    <x v="1"/>
    <x v="3"/>
    <x v="1"/>
    <n v="31.14"/>
    <x v="1"/>
    <n v="155.69999999999999"/>
    <n v="31.14"/>
    <n v="124.55999999999899"/>
    <n v="50.35"/>
    <n v="251.75"/>
    <n v="-127.19"/>
    <n v="-102.11143224148999"/>
  </r>
  <r>
    <x v="229"/>
    <x v="229"/>
    <x v="203"/>
    <x v="3"/>
    <x v="1"/>
    <x v="2"/>
    <x v="2"/>
    <x v="1"/>
    <n v="101.81"/>
    <x v="1"/>
    <n v="509.05"/>
    <n v="101.81"/>
    <n v="407.24"/>
    <n v="8.6300000000000008"/>
    <n v="43.15"/>
    <n v="364.09"/>
    <n v="89.404282486985494"/>
  </r>
  <r>
    <x v="230"/>
    <x v="230"/>
    <x v="204"/>
    <x v="1"/>
    <x v="0"/>
    <x v="2"/>
    <x v="1"/>
    <x v="1"/>
    <n v="155.32"/>
    <x v="4"/>
    <n v="776.599999999999"/>
    <n v="38.83"/>
    <n v="737.76999999999896"/>
    <n v="95.48"/>
    <n v="477.4"/>
    <n v="260.36999999999898"/>
    <n v="35.291486506634797"/>
  </r>
  <r>
    <x v="231"/>
    <x v="231"/>
    <x v="205"/>
    <x v="1"/>
    <x v="0"/>
    <x v="2"/>
    <x v="6"/>
    <x v="3"/>
    <n v="52.23"/>
    <x v="2"/>
    <n v="208.92"/>
    <n v="0"/>
    <n v="208.92"/>
    <n v="138.30000000000001"/>
    <n v="553.20000000000005"/>
    <n v="-344.28"/>
    <n v="-164.79035037334799"/>
  </r>
  <r>
    <x v="232"/>
    <x v="232"/>
    <x v="206"/>
    <x v="0"/>
    <x v="1"/>
    <x v="3"/>
    <x v="0"/>
    <x v="6"/>
    <n v="197.45"/>
    <x v="3"/>
    <n v="1184.69999999999"/>
    <n v="118.469999999999"/>
    <n v="1066.22999999999"/>
    <n v="5.69"/>
    <n v="34.14"/>
    <n v="1032.0899999999899"/>
    <n v="96.798064207534907"/>
  </r>
  <r>
    <x v="233"/>
    <x v="233"/>
    <x v="207"/>
    <x v="2"/>
    <x v="0"/>
    <x v="1"/>
    <x v="1"/>
    <x v="8"/>
    <n v="192.7"/>
    <x v="3"/>
    <n v="1348.8999999999901"/>
    <n v="134.88999999999999"/>
    <n v="1214.00999999999"/>
    <n v="23.31"/>
    <n v="163.16999999999999"/>
    <n v="1050.8399999999899"/>
    <n v="86.559418785677195"/>
  </r>
  <r>
    <x v="234"/>
    <x v="234"/>
    <x v="208"/>
    <x v="0"/>
    <x v="1"/>
    <x v="2"/>
    <x v="5"/>
    <x v="8"/>
    <n v="160.15"/>
    <x v="2"/>
    <n v="1121.05"/>
    <n v="0"/>
    <n v="1121.05"/>
    <n v="34.01"/>
    <n v="238.07"/>
    <n v="882.98"/>
    <n v="78.763659069622193"/>
  </r>
  <r>
    <x v="235"/>
    <x v="235"/>
    <x v="209"/>
    <x v="3"/>
    <x v="0"/>
    <x v="3"/>
    <x v="4"/>
    <x v="4"/>
    <n v="222.86"/>
    <x v="4"/>
    <n v="2005.74"/>
    <n v="100.28700000000001"/>
    <n v="1905.453"/>
    <n v="117.99"/>
    <n v="1061.9099999999901"/>
    <n v="843.54300000000001"/>
    <n v="44.269945257112099"/>
  </r>
  <r>
    <x v="236"/>
    <x v="236"/>
    <x v="210"/>
    <x v="0"/>
    <x v="0"/>
    <x v="1"/>
    <x v="3"/>
    <x v="3"/>
    <n v="61.05"/>
    <x v="1"/>
    <n v="244.2"/>
    <n v="48.84"/>
    <n v="195.35999999999899"/>
    <n v="58.64"/>
    <n v="234.56"/>
    <n v="-39.200000000000003"/>
    <n v="-20.065520065520001"/>
  </r>
  <r>
    <x v="237"/>
    <x v="237"/>
    <x v="175"/>
    <x v="0"/>
    <x v="0"/>
    <x v="2"/>
    <x v="4"/>
    <x v="8"/>
    <n v="72.91"/>
    <x v="2"/>
    <n v="510.37"/>
    <n v="0"/>
    <n v="510.37"/>
    <n v="33.72"/>
    <n v="236.04"/>
    <n v="274.33"/>
    <n v="53.751200109724302"/>
  </r>
  <r>
    <x v="238"/>
    <x v="238"/>
    <x v="10"/>
    <x v="2"/>
    <x v="0"/>
    <x v="2"/>
    <x v="5"/>
    <x v="7"/>
    <n v="40.47"/>
    <x v="2"/>
    <n v="323.76"/>
    <n v="0"/>
    <n v="323.76"/>
    <n v="58.99"/>
    <n v="471.92"/>
    <n v="-148.16"/>
    <n v="-45.762293056585101"/>
  </r>
  <r>
    <x v="239"/>
    <x v="239"/>
    <x v="208"/>
    <x v="2"/>
    <x v="1"/>
    <x v="3"/>
    <x v="0"/>
    <x v="7"/>
    <n v="136.13999999999999"/>
    <x v="3"/>
    <n v="1089.1199999999999"/>
    <n v="108.911999999999"/>
    <n v="980.20799999999895"/>
    <n v="42.16"/>
    <n v="337.28"/>
    <n v="642.92799999999897"/>
    <n v="65.590976609046194"/>
  </r>
  <r>
    <x v="240"/>
    <x v="240"/>
    <x v="211"/>
    <x v="1"/>
    <x v="1"/>
    <x v="1"/>
    <x v="5"/>
    <x v="0"/>
    <n v="85.72"/>
    <x v="3"/>
    <n v="171.44"/>
    <n v="17.143999999999998"/>
    <n v="154.29599999999999"/>
    <n v="41.32"/>
    <n v="82.64"/>
    <n v="71.655999999999906"/>
    <n v="46.4406076631928"/>
  </r>
  <r>
    <x v="241"/>
    <x v="241"/>
    <x v="212"/>
    <x v="3"/>
    <x v="0"/>
    <x v="0"/>
    <x v="1"/>
    <x v="1"/>
    <n v="67.180000000000007"/>
    <x v="3"/>
    <n v="335.9"/>
    <n v="33.590000000000003"/>
    <n v="302.31"/>
    <n v="87.05"/>
    <n v="435.25"/>
    <n v="-132.939999999999"/>
    <n v="-43.974727928285503"/>
  </r>
  <r>
    <x v="242"/>
    <x v="242"/>
    <x v="213"/>
    <x v="3"/>
    <x v="0"/>
    <x v="0"/>
    <x v="1"/>
    <x v="5"/>
    <n v="26.95"/>
    <x v="0"/>
    <n v="80.849999999999994"/>
    <n v="12.1275"/>
    <n v="68.722499999999997"/>
    <n v="102.21"/>
    <n v="306.63"/>
    <n v="-237.9075"/>
    <n v="-346.18574702608299"/>
  </r>
  <r>
    <x v="243"/>
    <x v="243"/>
    <x v="43"/>
    <x v="3"/>
    <x v="1"/>
    <x v="3"/>
    <x v="5"/>
    <x v="5"/>
    <n v="248.27"/>
    <x v="0"/>
    <n v="744.81"/>
    <n v="111.72150000000001"/>
    <n v="633.08849999999995"/>
    <n v="41.16"/>
    <n v="123.479999999999"/>
    <n v="509.60849999999999"/>
    <n v="80.495617911239805"/>
  </r>
  <r>
    <x v="244"/>
    <x v="244"/>
    <x v="214"/>
    <x v="0"/>
    <x v="1"/>
    <x v="2"/>
    <x v="0"/>
    <x v="2"/>
    <n v="205.98"/>
    <x v="2"/>
    <n v="205.98"/>
    <n v="0"/>
    <n v="205.98"/>
    <n v="84.74"/>
    <n v="84.74"/>
    <n v="121.24"/>
    <n v="58.860083503252703"/>
  </r>
  <r>
    <x v="245"/>
    <x v="245"/>
    <x v="215"/>
    <x v="3"/>
    <x v="1"/>
    <x v="0"/>
    <x v="5"/>
    <x v="0"/>
    <n v="88.34"/>
    <x v="3"/>
    <n v="176.68"/>
    <n v="17.667999999999999"/>
    <n v="159.012"/>
    <n v="9.32"/>
    <n v="18.64"/>
    <n v="140.37200000000001"/>
    <n v="88.277614268105495"/>
  </r>
  <r>
    <x v="246"/>
    <x v="246"/>
    <x v="37"/>
    <x v="2"/>
    <x v="0"/>
    <x v="3"/>
    <x v="0"/>
    <x v="1"/>
    <n v="108.1"/>
    <x v="0"/>
    <n v="540.5"/>
    <n v="81.075000000000003"/>
    <n v="459.42500000000001"/>
    <n v="146"/>
    <n v="730"/>
    <n v="-270.57499999999999"/>
    <n v="-58.894270011427302"/>
  </r>
  <r>
    <x v="247"/>
    <x v="247"/>
    <x v="196"/>
    <x v="2"/>
    <x v="1"/>
    <x v="0"/>
    <x v="0"/>
    <x v="6"/>
    <n v="144.57"/>
    <x v="2"/>
    <n v="867.42"/>
    <n v="0"/>
    <n v="867.42"/>
    <n v="19.86"/>
    <n v="119.16"/>
    <n v="748.26"/>
    <n v="86.262710105831005"/>
  </r>
  <r>
    <x v="248"/>
    <x v="248"/>
    <x v="216"/>
    <x v="2"/>
    <x v="1"/>
    <x v="3"/>
    <x v="0"/>
    <x v="2"/>
    <n v="22.48"/>
    <x v="0"/>
    <n v="22.48"/>
    <n v="3.3719999999999999"/>
    <n v="19.108000000000001"/>
    <n v="86.04"/>
    <n v="86.04"/>
    <n v="-66.932000000000002"/>
    <n v="-350.28260414485999"/>
  </r>
  <r>
    <x v="249"/>
    <x v="249"/>
    <x v="217"/>
    <x v="1"/>
    <x v="1"/>
    <x v="2"/>
    <x v="2"/>
    <x v="6"/>
    <n v="100.16"/>
    <x v="4"/>
    <n v="600.96"/>
    <n v="30.047999999999998"/>
    <n v="570.91200000000003"/>
    <n v="149.57"/>
    <n v="897.42"/>
    <n v="-326.50799999999902"/>
    <n v="-57.190600302673602"/>
  </r>
  <r>
    <x v="250"/>
    <x v="250"/>
    <x v="173"/>
    <x v="3"/>
    <x v="0"/>
    <x v="0"/>
    <x v="4"/>
    <x v="1"/>
    <n v="147.94"/>
    <x v="1"/>
    <n v="739.7"/>
    <n v="147.94"/>
    <n v="591.76"/>
    <n v="51.67"/>
    <n v="258.35000000000002"/>
    <n v="333.409999999999"/>
    <n v="56.342098147897701"/>
  </r>
  <r>
    <x v="251"/>
    <x v="251"/>
    <x v="218"/>
    <x v="2"/>
    <x v="1"/>
    <x v="0"/>
    <x v="6"/>
    <x v="0"/>
    <n v="240.7"/>
    <x v="2"/>
    <n v="481.4"/>
    <n v="0"/>
    <n v="481.4"/>
    <n v="46.63"/>
    <n v="93.26"/>
    <n v="388.14"/>
    <n v="80.627336933942601"/>
  </r>
  <r>
    <x v="252"/>
    <x v="252"/>
    <x v="219"/>
    <x v="3"/>
    <x v="0"/>
    <x v="2"/>
    <x v="0"/>
    <x v="0"/>
    <n v="241.37"/>
    <x v="3"/>
    <n v="482.74"/>
    <n v="48.274000000000001"/>
    <n v="434.46600000000001"/>
    <n v="112.06"/>
    <n v="224.12"/>
    <n v="210.346"/>
    <n v="48.414835683344599"/>
  </r>
  <r>
    <x v="253"/>
    <x v="253"/>
    <x v="220"/>
    <x v="0"/>
    <x v="1"/>
    <x v="3"/>
    <x v="0"/>
    <x v="5"/>
    <n v="191.89"/>
    <x v="4"/>
    <n v="575.66999999999996"/>
    <n v="28.7835"/>
    <n v="546.88649999999996"/>
    <n v="72.53"/>
    <n v="217.59"/>
    <n v="329.29649999999901"/>
    <n v="60.212950950517097"/>
  </r>
  <r>
    <x v="254"/>
    <x v="254"/>
    <x v="221"/>
    <x v="2"/>
    <x v="1"/>
    <x v="0"/>
    <x v="1"/>
    <x v="3"/>
    <n v="22.21"/>
    <x v="3"/>
    <n v="88.84"/>
    <n v="8.8840000000000003"/>
    <n v="79.956000000000003"/>
    <n v="43.65"/>
    <n v="174.6"/>
    <n v="-94.643999999999906"/>
    <n v="-118.370103556956"/>
  </r>
  <r>
    <x v="255"/>
    <x v="255"/>
    <x v="222"/>
    <x v="3"/>
    <x v="0"/>
    <x v="3"/>
    <x v="4"/>
    <x v="6"/>
    <n v="154.86000000000001"/>
    <x v="3"/>
    <n v="929.16"/>
    <n v="92.915999999999997"/>
    <n v="836.24400000000003"/>
    <n v="88.07"/>
    <n v="528.41999999999996"/>
    <n v="307.82400000000001"/>
    <n v="36.810308952889301"/>
  </r>
  <r>
    <x v="256"/>
    <x v="256"/>
    <x v="223"/>
    <x v="1"/>
    <x v="0"/>
    <x v="2"/>
    <x v="2"/>
    <x v="2"/>
    <n v="120.62"/>
    <x v="4"/>
    <n v="120.62"/>
    <n v="6.0309999999999997"/>
    <n v="114.589"/>
    <n v="124.93"/>
    <n v="124.93"/>
    <n v="-10.340999999999999"/>
    <n v="-9.0244264283657305"/>
  </r>
  <r>
    <x v="257"/>
    <x v="257"/>
    <x v="224"/>
    <x v="0"/>
    <x v="0"/>
    <x v="0"/>
    <x v="3"/>
    <x v="6"/>
    <n v="165.62"/>
    <x v="2"/>
    <n v="993.72"/>
    <n v="0"/>
    <n v="993.72"/>
    <n v="102.03"/>
    <n v="612.17999999999995"/>
    <n v="381.539999999999"/>
    <n v="38.395121362154299"/>
  </r>
  <r>
    <x v="258"/>
    <x v="258"/>
    <x v="225"/>
    <x v="1"/>
    <x v="1"/>
    <x v="2"/>
    <x v="6"/>
    <x v="3"/>
    <n v="104.85"/>
    <x v="1"/>
    <n v="419.4"/>
    <n v="83.88"/>
    <n v="335.52"/>
    <n v="39.81"/>
    <n v="159.24"/>
    <n v="176.27999999999901"/>
    <n v="52.539341917024302"/>
  </r>
  <r>
    <x v="259"/>
    <x v="259"/>
    <x v="226"/>
    <x v="2"/>
    <x v="1"/>
    <x v="3"/>
    <x v="4"/>
    <x v="4"/>
    <n v="129.30000000000001"/>
    <x v="1"/>
    <n v="1163.7"/>
    <n v="232.74"/>
    <n v="930.96"/>
    <n v="101.83"/>
    <n v="916.47"/>
    <n v="14.49"/>
    <n v="1.55645784996133"/>
  </r>
  <r>
    <x v="260"/>
    <x v="260"/>
    <x v="160"/>
    <x v="0"/>
    <x v="0"/>
    <x v="0"/>
    <x v="4"/>
    <x v="6"/>
    <n v="117.23"/>
    <x v="0"/>
    <n v="703.38"/>
    <n v="105.506999999999"/>
    <n v="597.87300000000005"/>
    <n v="139.83000000000001"/>
    <n v="838.98"/>
    <n v="-241.106999999999"/>
    <n v="-40.327460848708597"/>
  </r>
  <r>
    <x v="261"/>
    <x v="261"/>
    <x v="207"/>
    <x v="2"/>
    <x v="1"/>
    <x v="2"/>
    <x v="0"/>
    <x v="8"/>
    <n v="42.29"/>
    <x v="1"/>
    <n v="296.02999999999997"/>
    <n v="59.205999999999896"/>
    <n v="236.82399999999899"/>
    <n v="33.58"/>
    <n v="235.06"/>
    <n v="1.76399999999998"/>
    <n v="0.74485694017497395"/>
  </r>
  <r>
    <x v="262"/>
    <x v="262"/>
    <x v="227"/>
    <x v="2"/>
    <x v="1"/>
    <x v="3"/>
    <x v="4"/>
    <x v="3"/>
    <n v="183.68"/>
    <x v="4"/>
    <n v="734.72"/>
    <n v="36.735999999999997"/>
    <n v="697.98400000000004"/>
    <n v="99.51"/>
    <n v="398.04"/>
    <n v="299.94400000000002"/>
    <n v="42.972904823033097"/>
  </r>
  <r>
    <x v="263"/>
    <x v="263"/>
    <x v="228"/>
    <x v="2"/>
    <x v="1"/>
    <x v="0"/>
    <x v="1"/>
    <x v="5"/>
    <n v="11.75"/>
    <x v="3"/>
    <n v="35.25"/>
    <n v="3.5249999999999999"/>
    <n v="31.725000000000001"/>
    <n v="77.44"/>
    <n v="232.32"/>
    <n v="-200.595"/>
    <n v="-632.29314420803701"/>
  </r>
  <r>
    <x v="264"/>
    <x v="264"/>
    <x v="229"/>
    <x v="0"/>
    <x v="1"/>
    <x v="0"/>
    <x v="4"/>
    <x v="2"/>
    <n v="125.42"/>
    <x v="1"/>
    <n v="125.42"/>
    <n v="25.084"/>
    <n v="100.336"/>
    <n v="101.19"/>
    <n v="101.19"/>
    <n v="-0.85399999999999898"/>
    <n v="-0.85114016903205103"/>
  </r>
  <r>
    <x v="265"/>
    <x v="265"/>
    <x v="230"/>
    <x v="3"/>
    <x v="1"/>
    <x v="2"/>
    <x v="6"/>
    <x v="2"/>
    <n v="209.4"/>
    <x v="3"/>
    <n v="209.4"/>
    <n v="20.94"/>
    <n v="188.46"/>
    <n v="24.97"/>
    <n v="24.97"/>
    <n v="163.49"/>
    <n v="86.750504085747593"/>
  </r>
  <r>
    <x v="266"/>
    <x v="266"/>
    <x v="231"/>
    <x v="3"/>
    <x v="0"/>
    <x v="0"/>
    <x v="6"/>
    <x v="2"/>
    <n v="198.66"/>
    <x v="3"/>
    <n v="198.66"/>
    <n v="19.866"/>
    <n v="178.79399999999899"/>
    <n v="38.76"/>
    <n v="38.76"/>
    <n v="140.03399999999999"/>
    <n v="78.321420181885301"/>
  </r>
  <r>
    <x v="267"/>
    <x v="267"/>
    <x v="232"/>
    <x v="1"/>
    <x v="0"/>
    <x v="0"/>
    <x v="5"/>
    <x v="1"/>
    <n v="88.62"/>
    <x v="4"/>
    <n v="443.1"/>
    <n v="22.155000000000001"/>
    <n v="420.94499999999999"/>
    <n v="55.4"/>
    <n v="277"/>
    <n v="143.94499999999999"/>
    <n v="34.195678770385598"/>
  </r>
  <r>
    <x v="268"/>
    <x v="268"/>
    <x v="233"/>
    <x v="3"/>
    <x v="0"/>
    <x v="3"/>
    <x v="4"/>
    <x v="0"/>
    <n v="136.66"/>
    <x v="3"/>
    <n v="273.32"/>
    <n v="27.332000000000001"/>
    <n v="245.988"/>
    <n v="126.74"/>
    <n v="253.48"/>
    <n v="-7.4919999999999902"/>
    <n v="-3.0456770248955101"/>
  </r>
  <r>
    <x v="269"/>
    <x v="269"/>
    <x v="234"/>
    <x v="1"/>
    <x v="1"/>
    <x v="1"/>
    <x v="6"/>
    <x v="3"/>
    <n v="228.33"/>
    <x v="3"/>
    <n v="913.32"/>
    <n v="91.331999999999994"/>
    <n v="821.98800000000006"/>
    <n v="60.73"/>
    <n v="242.92"/>
    <n v="579.06799999999998"/>
    <n v="70.4472571375738"/>
  </r>
  <r>
    <x v="270"/>
    <x v="270"/>
    <x v="235"/>
    <x v="3"/>
    <x v="1"/>
    <x v="1"/>
    <x v="6"/>
    <x v="8"/>
    <n v="84.44"/>
    <x v="0"/>
    <n v="591.07999999999902"/>
    <n v="88.661999999999907"/>
    <n v="502.41799999999898"/>
    <n v="53.93"/>
    <n v="377.51"/>
    <n v="124.90799999999901"/>
    <n v="24.861370412684199"/>
  </r>
  <r>
    <x v="271"/>
    <x v="271"/>
    <x v="236"/>
    <x v="3"/>
    <x v="1"/>
    <x v="1"/>
    <x v="2"/>
    <x v="0"/>
    <n v="149.38999999999999"/>
    <x v="3"/>
    <n v="298.77999999999997"/>
    <n v="29.878"/>
    <n v="268.90199999999999"/>
    <n v="112.53"/>
    <n v="225.06"/>
    <n v="43.841999999999899"/>
    <n v="16.3040810406765"/>
  </r>
  <r>
    <x v="272"/>
    <x v="272"/>
    <x v="237"/>
    <x v="0"/>
    <x v="0"/>
    <x v="0"/>
    <x v="3"/>
    <x v="4"/>
    <n v="234.18"/>
    <x v="2"/>
    <n v="2107.62"/>
    <n v="0"/>
    <n v="2107.62"/>
    <n v="25.12"/>
    <n v="226.08"/>
    <n v="1881.54"/>
    <n v="89.273208642924203"/>
  </r>
  <r>
    <x v="273"/>
    <x v="273"/>
    <x v="238"/>
    <x v="3"/>
    <x v="0"/>
    <x v="0"/>
    <x v="6"/>
    <x v="0"/>
    <n v="238.87"/>
    <x v="4"/>
    <n v="477.74"/>
    <n v="23.887"/>
    <n v="453.85300000000001"/>
    <n v="51.4"/>
    <n v="102.8"/>
    <n v="351.053"/>
    <n v="77.349494219493906"/>
  </r>
  <r>
    <x v="274"/>
    <x v="274"/>
    <x v="239"/>
    <x v="2"/>
    <x v="0"/>
    <x v="3"/>
    <x v="0"/>
    <x v="3"/>
    <n v="173.22"/>
    <x v="2"/>
    <n v="692.88"/>
    <n v="0"/>
    <n v="692.88"/>
    <n v="84.87"/>
    <n v="339.48"/>
    <n v="353.4"/>
    <n v="51.004502944232698"/>
  </r>
  <r>
    <x v="275"/>
    <x v="275"/>
    <x v="74"/>
    <x v="0"/>
    <x v="1"/>
    <x v="3"/>
    <x v="1"/>
    <x v="0"/>
    <n v="245.35"/>
    <x v="3"/>
    <n v="490.7"/>
    <n v="49.07"/>
    <n v="441.63"/>
    <n v="55.22"/>
    <n v="110.44"/>
    <n v="331.19"/>
    <n v="74.992640898489597"/>
  </r>
  <r>
    <x v="276"/>
    <x v="276"/>
    <x v="79"/>
    <x v="2"/>
    <x v="0"/>
    <x v="1"/>
    <x v="1"/>
    <x v="1"/>
    <n v="196.22"/>
    <x v="3"/>
    <n v="981.1"/>
    <n v="98.11"/>
    <n v="882.99"/>
    <n v="91.7"/>
    <n v="458.5"/>
    <n v="424.49"/>
    <n v="48.0741571252222"/>
  </r>
  <r>
    <x v="277"/>
    <x v="277"/>
    <x v="240"/>
    <x v="0"/>
    <x v="1"/>
    <x v="3"/>
    <x v="2"/>
    <x v="7"/>
    <n v="243.74"/>
    <x v="1"/>
    <n v="1949.92"/>
    <n v="389.98399999999998"/>
    <n v="1559.9359999999999"/>
    <n v="92.22"/>
    <n v="737.76"/>
    <n v="822.17600000000004"/>
    <n v="52.705752030852501"/>
  </r>
  <r>
    <x v="278"/>
    <x v="278"/>
    <x v="241"/>
    <x v="2"/>
    <x v="0"/>
    <x v="3"/>
    <x v="2"/>
    <x v="3"/>
    <n v="171.14"/>
    <x v="0"/>
    <n v="684.56"/>
    <n v="102.683999999999"/>
    <n v="581.87599999999998"/>
    <n v="25.49"/>
    <n v="101.96"/>
    <n v="479.916"/>
    <n v="82.477366311722704"/>
  </r>
  <r>
    <x v="279"/>
    <x v="279"/>
    <x v="242"/>
    <x v="3"/>
    <x v="1"/>
    <x v="1"/>
    <x v="2"/>
    <x v="3"/>
    <n v="166.76"/>
    <x v="2"/>
    <n v="667.04"/>
    <n v="0"/>
    <n v="667.04"/>
    <n v="24.35"/>
    <n v="97.4"/>
    <n v="569.64"/>
    <n v="85.398177020868303"/>
  </r>
  <r>
    <x v="280"/>
    <x v="280"/>
    <x v="243"/>
    <x v="3"/>
    <x v="1"/>
    <x v="2"/>
    <x v="6"/>
    <x v="2"/>
    <n v="23.87"/>
    <x v="2"/>
    <n v="23.87"/>
    <n v="0"/>
    <n v="23.87"/>
    <n v="118.72"/>
    <n v="118.72"/>
    <n v="-94.85"/>
    <n v="-397.36070381231599"/>
  </r>
  <r>
    <x v="281"/>
    <x v="281"/>
    <x v="244"/>
    <x v="1"/>
    <x v="0"/>
    <x v="1"/>
    <x v="5"/>
    <x v="4"/>
    <n v="127.52"/>
    <x v="3"/>
    <n v="1147.68"/>
    <n v="114.768"/>
    <n v="1032.912"/>
    <n v="65.52"/>
    <n v="589.67999999999995"/>
    <n v="443.23200000000003"/>
    <n v="42.910915934755302"/>
  </r>
  <r>
    <x v="282"/>
    <x v="282"/>
    <x v="245"/>
    <x v="0"/>
    <x v="1"/>
    <x v="3"/>
    <x v="2"/>
    <x v="4"/>
    <n v="89.34"/>
    <x v="4"/>
    <n v="804.06"/>
    <n v="40.203000000000003"/>
    <n v="763.85699999999997"/>
    <n v="26.63"/>
    <n v="239.67"/>
    <n v="524.18700000000001"/>
    <n v="68.623708364261901"/>
  </r>
  <r>
    <x v="283"/>
    <x v="283"/>
    <x v="246"/>
    <x v="2"/>
    <x v="0"/>
    <x v="1"/>
    <x v="6"/>
    <x v="4"/>
    <n v="20.84"/>
    <x v="0"/>
    <n v="187.56"/>
    <n v="28.134"/>
    <n v="159.42599999999999"/>
    <n v="16.079999999999998"/>
    <n v="144.719999999999"/>
    <n v="14.706"/>
    <n v="9.22434232810207"/>
  </r>
  <r>
    <x v="284"/>
    <x v="284"/>
    <x v="8"/>
    <x v="1"/>
    <x v="0"/>
    <x v="0"/>
    <x v="5"/>
    <x v="6"/>
    <n v="162.44999999999999"/>
    <x v="3"/>
    <n v="974.69999999999902"/>
    <n v="97.47"/>
    <n v="877.229999999999"/>
    <n v="65.739999999999995"/>
    <n v="394.43999999999897"/>
    <n v="482.789999999999"/>
    <n v="55.035737491877804"/>
  </r>
  <r>
    <x v="285"/>
    <x v="285"/>
    <x v="247"/>
    <x v="2"/>
    <x v="0"/>
    <x v="3"/>
    <x v="2"/>
    <x v="8"/>
    <n v="243.09"/>
    <x v="2"/>
    <n v="1701.63"/>
    <n v="0"/>
    <n v="1701.63"/>
    <n v="127.11"/>
    <n v="889.77"/>
    <n v="811.86"/>
    <n v="47.710724423053101"/>
  </r>
  <r>
    <x v="286"/>
    <x v="286"/>
    <x v="248"/>
    <x v="1"/>
    <x v="1"/>
    <x v="2"/>
    <x v="5"/>
    <x v="8"/>
    <n v="147.22999999999999"/>
    <x v="2"/>
    <n v="1030.6099999999999"/>
    <n v="0"/>
    <n v="1030.6099999999999"/>
    <n v="34.74"/>
    <n v="243.18"/>
    <n v="787.42999999999904"/>
    <n v="76.404265435033594"/>
  </r>
  <r>
    <x v="287"/>
    <x v="287"/>
    <x v="249"/>
    <x v="1"/>
    <x v="1"/>
    <x v="1"/>
    <x v="6"/>
    <x v="0"/>
    <n v="95.12"/>
    <x v="3"/>
    <n v="190.24"/>
    <n v="19.024000000000001"/>
    <n v="171.21600000000001"/>
    <n v="149.28"/>
    <n v="298.56"/>
    <n v="-127.34399999999999"/>
    <n v="-74.376226520885893"/>
  </r>
  <r>
    <x v="288"/>
    <x v="288"/>
    <x v="250"/>
    <x v="0"/>
    <x v="0"/>
    <x v="0"/>
    <x v="6"/>
    <x v="0"/>
    <n v="236.8"/>
    <x v="2"/>
    <n v="473.6"/>
    <n v="0"/>
    <n v="473.6"/>
    <n v="8.0299999999999994"/>
    <n v="16.059999999999999"/>
    <n v="457.54"/>
    <n v="96.608952702702695"/>
  </r>
  <r>
    <x v="289"/>
    <x v="289"/>
    <x v="251"/>
    <x v="1"/>
    <x v="1"/>
    <x v="0"/>
    <x v="6"/>
    <x v="5"/>
    <n v="173.62"/>
    <x v="2"/>
    <n v="520.86"/>
    <n v="0"/>
    <n v="520.86"/>
    <n v="91.06"/>
    <n v="273.18"/>
    <n v="247.68"/>
    <n v="47.552125331182999"/>
  </r>
  <r>
    <x v="290"/>
    <x v="290"/>
    <x v="252"/>
    <x v="3"/>
    <x v="0"/>
    <x v="3"/>
    <x v="6"/>
    <x v="1"/>
    <n v="47.62"/>
    <x v="3"/>
    <n v="238.1"/>
    <n v="23.81"/>
    <n v="214.29"/>
    <n v="106.37"/>
    <n v="531.85"/>
    <n v="-317.56"/>
    <n v="-148.19170283260999"/>
  </r>
  <r>
    <x v="291"/>
    <x v="291"/>
    <x v="253"/>
    <x v="1"/>
    <x v="1"/>
    <x v="3"/>
    <x v="1"/>
    <x v="6"/>
    <n v="155.61000000000001"/>
    <x v="3"/>
    <n v="933.66"/>
    <n v="93.366"/>
    <n v="840.29399999999998"/>
    <n v="82.18"/>
    <n v="493.08"/>
    <n v="347.214"/>
    <n v="41.320537811765803"/>
  </r>
  <r>
    <x v="292"/>
    <x v="292"/>
    <x v="70"/>
    <x v="1"/>
    <x v="0"/>
    <x v="1"/>
    <x v="1"/>
    <x v="1"/>
    <n v="215.61"/>
    <x v="4"/>
    <n v="1078.05"/>
    <n v="53.902500000000003"/>
    <n v="1024.1475"/>
    <n v="42.58"/>
    <n v="212.89999999999901"/>
    <n v="811.24749999999995"/>
    <n v="79.2119787432962"/>
  </r>
  <r>
    <x v="293"/>
    <x v="293"/>
    <x v="32"/>
    <x v="3"/>
    <x v="0"/>
    <x v="3"/>
    <x v="4"/>
    <x v="4"/>
    <n v="196.6"/>
    <x v="4"/>
    <n v="1769.3999999999901"/>
    <n v="88.47"/>
    <n v="1680.9299999999901"/>
    <n v="50.88"/>
    <n v="457.92"/>
    <n v="1223.00999999999"/>
    <n v="72.757937570273498"/>
  </r>
  <r>
    <x v="294"/>
    <x v="294"/>
    <x v="254"/>
    <x v="1"/>
    <x v="1"/>
    <x v="0"/>
    <x v="3"/>
    <x v="8"/>
    <n v="129.21"/>
    <x v="4"/>
    <n v="904.47"/>
    <n v="45.223500000000001"/>
    <n v="859.24649999999997"/>
    <n v="85.31"/>
    <n v="597.16999999999996"/>
    <n v="262.07649999999899"/>
    <n v="30.500735237210701"/>
  </r>
  <r>
    <x v="295"/>
    <x v="295"/>
    <x v="255"/>
    <x v="1"/>
    <x v="1"/>
    <x v="2"/>
    <x v="6"/>
    <x v="0"/>
    <n v="174.12"/>
    <x v="3"/>
    <n v="348.24"/>
    <n v="34.823999999999998"/>
    <n v="313.416"/>
    <n v="134.83000000000001"/>
    <n v="269.66000000000003"/>
    <n v="43.755999999999901"/>
    <n v="13.960997524057399"/>
  </r>
  <r>
    <x v="296"/>
    <x v="296"/>
    <x v="256"/>
    <x v="0"/>
    <x v="1"/>
    <x v="0"/>
    <x v="6"/>
    <x v="3"/>
    <n v="221.96"/>
    <x v="2"/>
    <n v="887.84"/>
    <n v="0"/>
    <n v="887.84"/>
    <n v="65.86"/>
    <n v="263.44"/>
    <n v="624.4"/>
    <n v="70.327987024689094"/>
  </r>
  <r>
    <x v="297"/>
    <x v="297"/>
    <x v="257"/>
    <x v="2"/>
    <x v="1"/>
    <x v="1"/>
    <x v="4"/>
    <x v="0"/>
    <n v="187.66"/>
    <x v="2"/>
    <n v="375.32"/>
    <n v="0"/>
    <n v="375.32"/>
    <n v="55"/>
    <n v="110"/>
    <n v="265.32"/>
    <n v="70.691676436107798"/>
  </r>
  <r>
    <x v="298"/>
    <x v="298"/>
    <x v="258"/>
    <x v="1"/>
    <x v="0"/>
    <x v="0"/>
    <x v="6"/>
    <x v="4"/>
    <n v="145.91"/>
    <x v="0"/>
    <n v="1313.19"/>
    <n v="196.9785"/>
    <n v="1116.2114999999999"/>
    <n v="63.05"/>
    <n v="567.44999999999902"/>
    <n v="548.76149999999996"/>
    <n v="49.162860264385301"/>
  </r>
  <r>
    <x v="299"/>
    <x v="299"/>
    <x v="259"/>
    <x v="2"/>
    <x v="0"/>
    <x v="3"/>
    <x v="3"/>
    <x v="0"/>
    <n v="244.62"/>
    <x v="1"/>
    <n v="489.24"/>
    <n v="97.847999999999999"/>
    <n v="391.392"/>
    <n v="149.9"/>
    <n v="299.8"/>
    <n v="91.591999999999899"/>
    <n v="23.401602485487601"/>
  </r>
  <r>
    <x v="300"/>
    <x v="300"/>
    <x v="260"/>
    <x v="0"/>
    <x v="1"/>
    <x v="3"/>
    <x v="6"/>
    <x v="8"/>
    <n v="24.62"/>
    <x v="4"/>
    <n v="172.34"/>
    <n v="8.6170000000000009"/>
    <n v="163.72300000000001"/>
    <n v="43.64"/>
    <n v="305.48"/>
    <n v="-141.75700000000001"/>
    <n v="-86.583436658258094"/>
  </r>
  <r>
    <x v="301"/>
    <x v="301"/>
    <x v="261"/>
    <x v="0"/>
    <x v="1"/>
    <x v="1"/>
    <x v="3"/>
    <x v="5"/>
    <n v="85.31"/>
    <x v="3"/>
    <n v="255.93"/>
    <n v="25.593"/>
    <n v="230.33699999999999"/>
    <n v="29.85"/>
    <n v="89.55"/>
    <n v="140.78699999999901"/>
    <n v="61.1221818465986"/>
  </r>
  <r>
    <x v="302"/>
    <x v="302"/>
    <x v="262"/>
    <x v="3"/>
    <x v="1"/>
    <x v="2"/>
    <x v="0"/>
    <x v="2"/>
    <n v="239.17"/>
    <x v="0"/>
    <n v="239.17"/>
    <n v="35.875499999999903"/>
    <n v="203.2945"/>
    <n v="134.47"/>
    <n v="134.47"/>
    <n v="68.8245"/>
    <n v="33.854580423966198"/>
  </r>
  <r>
    <x v="303"/>
    <x v="303"/>
    <x v="263"/>
    <x v="1"/>
    <x v="0"/>
    <x v="1"/>
    <x v="0"/>
    <x v="1"/>
    <n v="17.440000000000001"/>
    <x v="1"/>
    <n v="87.2"/>
    <n v="17.440000000000001"/>
    <n v="69.760000000000005"/>
    <n v="23.19"/>
    <n v="115.95"/>
    <n v="-46.19"/>
    <n v="-66.212729357798096"/>
  </r>
  <r>
    <x v="304"/>
    <x v="304"/>
    <x v="264"/>
    <x v="0"/>
    <x v="0"/>
    <x v="3"/>
    <x v="2"/>
    <x v="0"/>
    <n v="177.29"/>
    <x v="2"/>
    <n v="354.58"/>
    <n v="0"/>
    <n v="354.58"/>
    <n v="126.72"/>
    <n v="253.44"/>
    <n v="101.13999999999901"/>
    <n v="28.523887416097899"/>
  </r>
  <r>
    <x v="305"/>
    <x v="305"/>
    <x v="265"/>
    <x v="2"/>
    <x v="1"/>
    <x v="1"/>
    <x v="5"/>
    <x v="5"/>
    <n v="137.03"/>
    <x v="4"/>
    <n v="411.09"/>
    <n v="20.554500000000001"/>
    <n v="390.53550000000001"/>
    <n v="95.66"/>
    <n v="286.98"/>
    <n v="103.55549999999999"/>
    <n v="26.516283410854999"/>
  </r>
  <r>
    <x v="306"/>
    <x v="306"/>
    <x v="266"/>
    <x v="1"/>
    <x v="1"/>
    <x v="2"/>
    <x v="1"/>
    <x v="2"/>
    <n v="153.01"/>
    <x v="3"/>
    <n v="153.01"/>
    <n v="15.301"/>
    <n v="137.709"/>
    <n v="143.9"/>
    <n v="143.9"/>
    <n v="-6.1909999999999998"/>
    <n v="-4.4957119723474799"/>
  </r>
  <r>
    <x v="307"/>
    <x v="307"/>
    <x v="267"/>
    <x v="0"/>
    <x v="0"/>
    <x v="0"/>
    <x v="3"/>
    <x v="3"/>
    <n v="27.47"/>
    <x v="2"/>
    <n v="109.88"/>
    <n v="0"/>
    <n v="109.88"/>
    <n v="51.08"/>
    <n v="204.32"/>
    <n v="-94.44"/>
    <n v="-85.948307244266402"/>
  </r>
  <r>
    <x v="308"/>
    <x v="308"/>
    <x v="268"/>
    <x v="2"/>
    <x v="0"/>
    <x v="2"/>
    <x v="5"/>
    <x v="3"/>
    <n v="11.93"/>
    <x v="0"/>
    <n v="47.72"/>
    <n v="7.1579999999999897"/>
    <n v="40.561999999999998"/>
    <n v="129.07"/>
    <n v="516.28"/>
    <n v="-475.71799999999899"/>
    <n v="-1172.8169222424899"/>
  </r>
  <r>
    <x v="309"/>
    <x v="309"/>
    <x v="269"/>
    <x v="0"/>
    <x v="0"/>
    <x v="0"/>
    <x v="3"/>
    <x v="7"/>
    <n v="87.1"/>
    <x v="2"/>
    <n v="696.8"/>
    <n v="0"/>
    <n v="696.8"/>
    <n v="17.690000000000001"/>
    <n v="141.52000000000001"/>
    <n v="555.28"/>
    <n v="79.690011481056203"/>
  </r>
  <r>
    <x v="310"/>
    <x v="310"/>
    <x v="200"/>
    <x v="2"/>
    <x v="1"/>
    <x v="2"/>
    <x v="1"/>
    <x v="2"/>
    <n v="106.01"/>
    <x v="3"/>
    <n v="106.01"/>
    <n v="10.601000000000001"/>
    <n v="95.409000000000006"/>
    <n v="118.44"/>
    <n v="118.44"/>
    <n v="-23.030999999999899"/>
    <n v="-24.139232147910501"/>
  </r>
  <r>
    <x v="311"/>
    <x v="311"/>
    <x v="270"/>
    <x v="1"/>
    <x v="0"/>
    <x v="0"/>
    <x v="0"/>
    <x v="6"/>
    <n v="161.37"/>
    <x v="0"/>
    <n v="968.22"/>
    <n v="145.233"/>
    <n v="822.98699999999997"/>
    <n v="52.44"/>
    <n v="314.64"/>
    <n v="508.34699999999998"/>
    <n v="61.768533403322202"/>
  </r>
  <r>
    <x v="312"/>
    <x v="312"/>
    <x v="271"/>
    <x v="0"/>
    <x v="1"/>
    <x v="3"/>
    <x v="4"/>
    <x v="4"/>
    <n v="140.32"/>
    <x v="1"/>
    <n v="1262.8799999999901"/>
    <n v="252.57599999999999"/>
    <n v="1010.30399999999"/>
    <n v="71.78"/>
    <n v="646.02"/>
    <n v="364.28399999999903"/>
    <n v="36.056870011402502"/>
  </r>
  <r>
    <x v="313"/>
    <x v="313"/>
    <x v="165"/>
    <x v="1"/>
    <x v="1"/>
    <x v="1"/>
    <x v="0"/>
    <x v="2"/>
    <n v="24.39"/>
    <x v="2"/>
    <n v="24.39"/>
    <n v="0"/>
    <n v="24.39"/>
    <n v="120.57"/>
    <n v="120.57"/>
    <n v="-96.179999999999893"/>
    <n v="-394.34194341943402"/>
  </r>
  <r>
    <x v="314"/>
    <x v="314"/>
    <x v="272"/>
    <x v="2"/>
    <x v="0"/>
    <x v="1"/>
    <x v="5"/>
    <x v="1"/>
    <n v="22.86"/>
    <x v="0"/>
    <n v="114.3"/>
    <n v="17.145"/>
    <n v="97.155000000000001"/>
    <n v="97.06"/>
    <n v="485.3"/>
    <n v="-388.14499999999998"/>
    <n v="-399.51109052544899"/>
  </r>
  <r>
    <x v="315"/>
    <x v="315"/>
    <x v="14"/>
    <x v="2"/>
    <x v="1"/>
    <x v="0"/>
    <x v="3"/>
    <x v="0"/>
    <n v="170.03"/>
    <x v="4"/>
    <n v="340.06"/>
    <n v="17.003"/>
    <n v="323.05700000000002"/>
    <n v="71.45"/>
    <n v="142.9"/>
    <n v="180.15700000000001"/>
    <n v="55.766319875439898"/>
  </r>
  <r>
    <x v="316"/>
    <x v="316"/>
    <x v="273"/>
    <x v="2"/>
    <x v="0"/>
    <x v="3"/>
    <x v="5"/>
    <x v="7"/>
    <n v="212.47"/>
    <x v="2"/>
    <n v="1699.76"/>
    <n v="0"/>
    <n v="1699.76"/>
    <n v="47.43"/>
    <n v="379.44"/>
    <n v="1320.32"/>
    <n v="77.676848496258202"/>
  </r>
  <r>
    <x v="317"/>
    <x v="317"/>
    <x v="235"/>
    <x v="0"/>
    <x v="1"/>
    <x v="1"/>
    <x v="4"/>
    <x v="3"/>
    <n v="126.7"/>
    <x v="1"/>
    <n v="506.8"/>
    <n v="101.36"/>
    <n v="405.44"/>
    <n v="114.54"/>
    <n v="458.16"/>
    <n v="-52.72"/>
    <n v="-13.0031570639305"/>
  </r>
  <r>
    <x v="318"/>
    <x v="318"/>
    <x v="274"/>
    <x v="3"/>
    <x v="1"/>
    <x v="2"/>
    <x v="5"/>
    <x v="8"/>
    <n v="66.900000000000006"/>
    <x v="0"/>
    <n v="468.3"/>
    <n v="70.245000000000005"/>
    <n v="398.05500000000001"/>
    <n v="72.540000000000006"/>
    <n v="507.78"/>
    <n v="-109.724999999999"/>
    <n v="-27.565286204167698"/>
  </r>
  <r>
    <x v="319"/>
    <x v="319"/>
    <x v="140"/>
    <x v="2"/>
    <x v="0"/>
    <x v="2"/>
    <x v="2"/>
    <x v="3"/>
    <n v="105.58"/>
    <x v="1"/>
    <n v="422.32"/>
    <n v="84.463999999999999"/>
    <n v="337.85599999999999"/>
    <n v="40.47"/>
    <n v="161.88"/>
    <n v="175.976"/>
    <n v="52.086095851487002"/>
  </r>
  <r>
    <x v="320"/>
    <x v="320"/>
    <x v="73"/>
    <x v="0"/>
    <x v="0"/>
    <x v="2"/>
    <x v="3"/>
    <x v="4"/>
    <n v="23.88"/>
    <x v="0"/>
    <n v="214.92"/>
    <n v="32.238"/>
    <n v="182.68199999999999"/>
    <n v="61.85"/>
    <n v="556.65"/>
    <n v="-373.96799999999899"/>
    <n v="-204.709823627943"/>
  </r>
  <r>
    <x v="321"/>
    <x v="321"/>
    <x v="142"/>
    <x v="2"/>
    <x v="0"/>
    <x v="2"/>
    <x v="5"/>
    <x v="2"/>
    <n v="182.56"/>
    <x v="4"/>
    <n v="182.56"/>
    <n v="9.1280000000000001"/>
    <n v="173.43199999999999"/>
    <n v="120.41"/>
    <n v="120.41"/>
    <n v="53.021999999999998"/>
    <n v="30.572212740440001"/>
  </r>
  <r>
    <x v="322"/>
    <x v="322"/>
    <x v="233"/>
    <x v="0"/>
    <x v="1"/>
    <x v="0"/>
    <x v="6"/>
    <x v="1"/>
    <n v="63.93"/>
    <x v="1"/>
    <n v="319.64999999999998"/>
    <n v="63.93"/>
    <n v="255.719999999999"/>
    <n v="13.5"/>
    <n v="67.5"/>
    <n v="188.219999999999"/>
    <n v="73.603941811356094"/>
  </r>
  <r>
    <x v="323"/>
    <x v="323"/>
    <x v="275"/>
    <x v="3"/>
    <x v="0"/>
    <x v="3"/>
    <x v="5"/>
    <x v="6"/>
    <n v="124.01"/>
    <x v="3"/>
    <n v="744.06"/>
    <n v="74.406000000000006"/>
    <n v="669.654"/>
    <n v="51.72"/>
    <n v="310.32"/>
    <n v="359.334"/>
    <n v="53.659651103405601"/>
  </r>
  <r>
    <x v="324"/>
    <x v="324"/>
    <x v="253"/>
    <x v="0"/>
    <x v="1"/>
    <x v="0"/>
    <x v="0"/>
    <x v="1"/>
    <n v="79.55"/>
    <x v="3"/>
    <n v="397.75"/>
    <n v="39.774999999999999"/>
    <n v="357.97500000000002"/>
    <n v="110.47"/>
    <n v="552.35"/>
    <n v="-194.375"/>
    <n v="-54.298484531042597"/>
  </r>
  <r>
    <x v="325"/>
    <x v="325"/>
    <x v="276"/>
    <x v="2"/>
    <x v="1"/>
    <x v="0"/>
    <x v="3"/>
    <x v="7"/>
    <n v="98.65"/>
    <x v="1"/>
    <n v="789.2"/>
    <n v="157.84"/>
    <n v="631.36"/>
    <n v="93.84"/>
    <n v="750.72"/>
    <n v="-119.36"/>
    <n v="-18.905220476431801"/>
  </r>
  <r>
    <x v="326"/>
    <x v="326"/>
    <x v="277"/>
    <x v="3"/>
    <x v="0"/>
    <x v="3"/>
    <x v="5"/>
    <x v="5"/>
    <n v="132.06"/>
    <x v="4"/>
    <n v="396.18"/>
    <n v="19.809000000000001"/>
    <n v="376.37099999999998"/>
    <n v="68.72"/>
    <n v="206.16"/>
    <n v="170.21099999999899"/>
    <n v="45.224260105055897"/>
  </r>
  <r>
    <x v="327"/>
    <x v="327"/>
    <x v="278"/>
    <x v="1"/>
    <x v="0"/>
    <x v="1"/>
    <x v="4"/>
    <x v="2"/>
    <n v="55.67"/>
    <x v="3"/>
    <n v="55.67"/>
    <n v="5.5670000000000002"/>
    <n v="50.103000000000002"/>
    <n v="27.58"/>
    <n v="27.58"/>
    <n v="22.523"/>
    <n v="44.953396004231202"/>
  </r>
  <r>
    <x v="328"/>
    <x v="328"/>
    <x v="279"/>
    <x v="1"/>
    <x v="0"/>
    <x v="2"/>
    <x v="4"/>
    <x v="0"/>
    <n v="184.53"/>
    <x v="3"/>
    <n v="369.06"/>
    <n v="36.905999999999999"/>
    <n v="332.154"/>
    <n v="11.9"/>
    <n v="23.8"/>
    <n v="308.35399999999998"/>
    <n v="92.834648988119895"/>
  </r>
  <r>
    <x v="329"/>
    <x v="329"/>
    <x v="232"/>
    <x v="2"/>
    <x v="1"/>
    <x v="3"/>
    <x v="2"/>
    <x v="6"/>
    <n v="35.770000000000003"/>
    <x v="2"/>
    <n v="214.62"/>
    <n v="0"/>
    <n v="214.62"/>
    <n v="63.16"/>
    <n v="378.96"/>
    <n v="-164.33999999999901"/>
    <n v="-76.572546826949903"/>
  </r>
  <r>
    <x v="330"/>
    <x v="330"/>
    <x v="5"/>
    <x v="3"/>
    <x v="0"/>
    <x v="3"/>
    <x v="5"/>
    <x v="7"/>
    <n v="191.73"/>
    <x v="2"/>
    <n v="1533.84"/>
    <n v="0"/>
    <n v="1533.84"/>
    <n v="104.8"/>
    <n v="838.4"/>
    <n v="695.43999999999903"/>
    <n v="45.339800761487503"/>
  </r>
  <r>
    <x v="331"/>
    <x v="331"/>
    <x v="280"/>
    <x v="3"/>
    <x v="0"/>
    <x v="2"/>
    <x v="6"/>
    <x v="8"/>
    <n v="21.08"/>
    <x v="0"/>
    <n v="147.56"/>
    <n v="22.134"/>
    <n v="125.426"/>
    <n v="43.84"/>
    <n v="306.88"/>
    <n v="-181.45400000000001"/>
    <n v="-144.67016408081199"/>
  </r>
  <r>
    <x v="332"/>
    <x v="332"/>
    <x v="281"/>
    <x v="3"/>
    <x v="1"/>
    <x v="2"/>
    <x v="0"/>
    <x v="2"/>
    <n v="126.12"/>
    <x v="0"/>
    <n v="126.12"/>
    <n v="18.917999999999999"/>
    <n v="107.202"/>
    <n v="135.80000000000001"/>
    <n v="135.80000000000001"/>
    <n v="-28.597999999999999"/>
    <n v="-26.676741105576401"/>
  </r>
  <r>
    <x v="333"/>
    <x v="333"/>
    <x v="282"/>
    <x v="1"/>
    <x v="1"/>
    <x v="2"/>
    <x v="0"/>
    <x v="5"/>
    <n v="151.97"/>
    <x v="1"/>
    <n v="455.909999999999"/>
    <n v="91.182000000000002"/>
    <n v="364.72799999999899"/>
    <n v="94.83"/>
    <n v="284.49"/>
    <n v="80.2379999999999"/>
    <n v="21.999407777850799"/>
  </r>
  <r>
    <x v="334"/>
    <x v="334"/>
    <x v="283"/>
    <x v="3"/>
    <x v="0"/>
    <x v="1"/>
    <x v="5"/>
    <x v="2"/>
    <n v="63.24"/>
    <x v="0"/>
    <n v="63.24"/>
    <n v="9.4860000000000007"/>
    <n v="53.753999999999998"/>
    <n v="71.010000000000005"/>
    <n v="71.010000000000005"/>
    <n v="-17.256"/>
    <n v="-32.101797075566402"/>
  </r>
  <r>
    <x v="335"/>
    <x v="335"/>
    <x v="284"/>
    <x v="2"/>
    <x v="0"/>
    <x v="1"/>
    <x v="0"/>
    <x v="7"/>
    <n v="17.940000000000001"/>
    <x v="1"/>
    <n v="143.52000000000001"/>
    <n v="28.704000000000001"/>
    <n v="114.816"/>
    <n v="114.43"/>
    <n v="915.44"/>
    <n v="-800.62400000000002"/>
    <n v="-697.31047937569599"/>
  </r>
  <r>
    <x v="336"/>
    <x v="336"/>
    <x v="285"/>
    <x v="3"/>
    <x v="1"/>
    <x v="2"/>
    <x v="4"/>
    <x v="5"/>
    <n v="179.45"/>
    <x v="2"/>
    <n v="538.349999999999"/>
    <n v="0"/>
    <n v="538.349999999999"/>
    <n v="48.45"/>
    <n v="145.35"/>
    <n v="392.99999999999898"/>
    <n v="73.000835887433794"/>
  </r>
  <r>
    <x v="337"/>
    <x v="337"/>
    <x v="273"/>
    <x v="3"/>
    <x v="0"/>
    <x v="2"/>
    <x v="3"/>
    <x v="3"/>
    <n v="176.51"/>
    <x v="0"/>
    <n v="706.04"/>
    <n v="105.905999999999"/>
    <n v="600.13400000000001"/>
    <n v="134.62"/>
    <n v="538.48"/>
    <n v="61.653999999999897"/>
    <n v="10.273372280190699"/>
  </r>
  <r>
    <x v="338"/>
    <x v="338"/>
    <x v="286"/>
    <x v="0"/>
    <x v="0"/>
    <x v="0"/>
    <x v="0"/>
    <x v="4"/>
    <n v="17.13"/>
    <x v="1"/>
    <n v="154.16999999999999"/>
    <n v="30.834"/>
    <n v="123.335999999999"/>
    <n v="58.29"/>
    <n v="524.61"/>
    <n v="-401.274"/>
    <n v="-325.350262697022"/>
  </r>
  <r>
    <x v="339"/>
    <x v="339"/>
    <x v="85"/>
    <x v="2"/>
    <x v="0"/>
    <x v="2"/>
    <x v="0"/>
    <x v="4"/>
    <n v="51.16"/>
    <x v="3"/>
    <n v="460.43999999999897"/>
    <n v="46.043999999999997"/>
    <n v="414.39599999999899"/>
    <n v="5.76"/>
    <n v="51.839999999999897"/>
    <n v="362.55599999999998"/>
    <n v="87.490226739640306"/>
  </r>
  <r>
    <x v="340"/>
    <x v="340"/>
    <x v="178"/>
    <x v="3"/>
    <x v="0"/>
    <x v="3"/>
    <x v="2"/>
    <x v="3"/>
    <n v="44.97"/>
    <x v="2"/>
    <n v="179.88"/>
    <n v="0"/>
    <n v="179.88"/>
    <n v="146.88999999999999"/>
    <n v="587.55999999999995"/>
    <n v="-407.67999999999898"/>
    <n v="-226.63998221036201"/>
  </r>
  <r>
    <x v="341"/>
    <x v="341"/>
    <x v="287"/>
    <x v="2"/>
    <x v="0"/>
    <x v="0"/>
    <x v="2"/>
    <x v="7"/>
    <n v="93.09"/>
    <x v="1"/>
    <n v="744.72"/>
    <n v="148.94399999999999"/>
    <n v="595.77599999999995"/>
    <n v="76.930000000000007"/>
    <n v="615.44000000000005"/>
    <n v="-19.663999999999898"/>
    <n v="-3.3005693414974702"/>
  </r>
  <r>
    <x v="342"/>
    <x v="342"/>
    <x v="20"/>
    <x v="1"/>
    <x v="1"/>
    <x v="1"/>
    <x v="1"/>
    <x v="4"/>
    <n v="48.35"/>
    <x v="3"/>
    <n v="435.15"/>
    <n v="43.515000000000001"/>
    <n v="391.63499999999999"/>
    <n v="136.02000000000001"/>
    <n v="1224.18"/>
    <n v="-832.54499999999996"/>
    <n v="-212.58186832126799"/>
  </r>
  <r>
    <x v="343"/>
    <x v="343"/>
    <x v="196"/>
    <x v="2"/>
    <x v="1"/>
    <x v="3"/>
    <x v="4"/>
    <x v="3"/>
    <n v="113.77"/>
    <x v="4"/>
    <n v="455.08"/>
    <n v="22.754000000000001"/>
    <n v="432.325999999999"/>
    <n v="20.81"/>
    <n v="83.24"/>
    <n v="349.08599999999899"/>
    <n v="80.746011111984899"/>
  </r>
  <r>
    <x v="344"/>
    <x v="344"/>
    <x v="288"/>
    <x v="3"/>
    <x v="0"/>
    <x v="0"/>
    <x v="4"/>
    <x v="5"/>
    <n v="183.97"/>
    <x v="4"/>
    <n v="551.91"/>
    <n v="27.595500000000001"/>
    <n v="524.31449999999995"/>
    <n v="33.99"/>
    <n v="101.97"/>
    <n v="422.34449999999902"/>
    <n v="80.551748997977299"/>
  </r>
  <r>
    <x v="345"/>
    <x v="345"/>
    <x v="289"/>
    <x v="2"/>
    <x v="1"/>
    <x v="2"/>
    <x v="3"/>
    <x v="2"/>
    <n v="204.94"/>
    <x v="1"/>
    <n v="204.94"/>
    <n v="40.988"/>
    <n v="163.952"/>
    <n v="75.14"/>
    <n v="75.14"/>
    <n v="88.811999999999998"/>
    <n v="54.169513028203298"/>
  </r>
  <r>
    <x v="346"/>
    <x v="346"/>
    <x v="40"/>
    <x v="0"/>
    <x v="1"/>
    <x v="1"/>
    <x v="6"/>
    <x v="6"/>
    <n v="211.08"/>
    <x v="4"/>
    <n v="1266.48"/>
    <n v="63.323999999999998"/>
    <n v="1203.1559999999999"/>
    <n v="134.84"/>
    <n v="809.04"/>
    <n v="394.11599999999999"/>
    <n v="32.7568494858522"/>
  </r>
  <r>
    <x v="347"/>
    <x v="347"/>
    <x v="290"/>
    <x v="3"/>
    <x v="0"/>
    <x v="1"/>
    <x v="0"/>
    <x v="2"/>
    <n v="67.959999999999994"/>
    <x v="1"/>
    <n v="67.959999999999994"/>
    <n v="13.591999999999899"/>
    <n v="54.367999999999903"/>
    <n v="18.34"/>
    <n v="18.34"/>
    <n v="36.027999999999899"/>
    <n v="66.266921718657997"/>
  </r>
  <r>
    <x v="348"/>
    <x v="348"/>
    <x v="291"/>
    <x v="2"/>
    <x v="0"/>
    <x v="1"/>
    <x v="3"/>
    <x v="3"/>
    <n v="128.41999999999999"/>
    <x v="4"/>
    <n v="513.67999999999995"/>
    <n v="25.683999999999902"/>
    <n v="487.99599999999998"/>
    <n v="83.08"/>
    <n v="332.32"/>
    <n v="155.67599999999999"/>
    <n v="31.901081156402899"/>
  </r>
  <r>
    <x v="349"/>
    <x v="349"/>
    <x v="292"/>
    <x v="1"/>
    <x v="1"/>
    <x v="0"/>
    <x v="4"/>
    <x v="0"/>
    <n v="209.46"/>
    <x v="0"/>
    <n v="418.92"/>
    <n v="62.838000000000001"/>
    <n v="356.08199999999999"/>
    <n v="114.93"/>
    <n v="229.86"/>
    <n v="126.221999999999"/>
    <n v="35.447453114731999"/>
  </r>
  <r>
    <x v="350"/>
    <x v="350"/>
    <x v="293"/>
    <x v="0"/>
    <x v="0"/>
    <x v="2"/>
    <x v="4"/>
    <x v="1"/>
    <n v="228.77"/>
    <x v="1"/>
    <n v="1143.8499999999999"/>
    <n v="228.77"/>
    <n v="915.08"/>
    <n v="61.61"/>
    <n v="308.05"/>
    <n v="607.03"/>
    <n v="66.336276609695304"/>
  </r>
  <r>
    <x v="351"/>
    <x v="351"/>
    <x v="260"/>
    <x v="2"/>
    <x v="1"/>
    <x v="1"/>
    <x v="3"/>
    <x v="8"/>
    <n v="183.76"/>
    <x v="4"/>
    <n v="1286.32"/>
    <n v="64.316000000000003"/>
    <n v="1222.0039999999999"/>
    <n v="69.569999999999993"/>
    <n v="486.98999999999899"/>
    <n v="735.01399999999899"/>
    <n v="60.148248287239603"/>
  </r>
  <r>
    <x v="352"/>
    <x v="352"/>
    <x v="176"/>
    <x v="3"/>
    <x v="1"/>
    <x v="3"/>
    <x v="3"/>
    <x v="3"/>
    <n v="124.8"/>
    <x v="0"/>
    <n v="499.2"/>
    <n v="74.88"/>
    <n v="424.32"/>
    <n v="140.38999999999999"/>
    <n v="561.55999999999995"/>
    <n v="-137.23999999999899"/>
    <n v="-32.343514328808403"/>
  </r>
  <r>
    <x v="353"/>
    <x v="353"/>
    <x v="59"/>
    <x v="3"/>
    <x v="0"/>
    <x v="2"/>
    <x v="0"/>
    <x v="0"/>
    <n v="48.98"/>
    <x v="2"/>
    <n v="97.96"/>
    <n v="0"/>
    <n v="97.96"/>
    <n v="82.87"/>
    <n v="165.74"/>
    <n v="-67.78"/>
    <n v="-69.191506737443802"/>
  </r>
  <r>
    <x v="354"/>
    <x v="354"/>
    <x v="294"/>
    <x v="3"/>
    <x v="1"/>
    <x v="3"/>
    <x v="3"/>
    <x v="2"/>
    <n v="199.85"/>
    <x v="0"/>
    <n v="199.85"/>
    <n v="29.977499999999999"/>
    <n v="169.8725"/>
    <n v="105.05"/>
    <n v="105.05"/>
    <n v="64.822500000000005"/>
    <n v="38.159501979425698"/>
  </r>
  <r>
    <x v="355"/>
    <x v="355"/>
    <x v="295"/>
    <x v="1"/>
    <x v="1"/>
    <x v="0"/>
    <x v="1"/>
    <x v="6"/>
    <n v="78.540000000000006"/>
    <x v="0"/>
    <n v="471.24"/>
    <n v="70.685999999999893"/>
    <n v="400.55399999999997"/>
    <n v="102.58"/>
    <n v="615.48"/>
    <n v="-214.92599999999999"/>
    <n v="-53.657184799053297"/>
  </r>
  <r>
    <x v="356"/>
    <x v="356"/>
    <x v="296"/>
    <x v="1"/>
    <x v="1"/>
    <x v="2"/>
    <x v="6"/>
    <x v="1"/>
    <n v="49.62"/>
    <x v="4"/>
    <n v="248.1"/>
    <n v="12.404999999999999"/>
    <n v="235.69499999999999"/>
    <n v="135.1"/>
    <n v="675.5"/>
    <n v="-439.80500000000001"/>
    <n v="-186.599206601752"/>
  </r>
  <r>
    <x v="357"/>
    <x v="357"/>
    <x v="297"/>
    <x v="0"/>
    <x v="0"/>
    <x v="0"/>
    <x v="3"/>
    <x v="0"/>
    <n v="53.83"/>
    <x v="4"/>
    <n v="107.66"/>
    <n v="5.383"/>
    <n v="102.277"/>
    <n v="54.51"/>
    <n v="109.02"/>
    <n v="-6.7429999999999897"/>
    <n v="-6.59288011967499"/>
  </r>
  <r>
    <x v="358"/>
    <x v="358"/>
    <x v="298"/>
    <x v="0"/>
    <x v="0"/>
    <x v="1"/>
    <x v="6"/>
    <x v="5"/>
    <n v="178"/>
    <x v="0"/>
    <n v="534"/>
    <n v="80.099999999999994"/>
    <n v="453.9"/>
    <n v="84.34"/>
    <n v="253.02"/>
    <n v="200.879999999999"/>
    <n v="44.256444150693902"/>
  </r>
  <r>
    <x v="359"/>
    <x v="359"/>
    <x v="299"/>
    <x v="1"/>
    <x v="0"/>
    <x v="3"/>
    <x v="0"/>
    <x v="3"/>
    <n v="231.1"/>
    <x v="2"/>
    <n v="924.4"/>
    <n v="0"/>
    <n v="924.4"/>
    <n v="35.97"/>
    <n v="143.88"/>
    <n v="780.52"/>
    <n v="84.435309389874504"/>
  </r>
  <r>
    <x v="360"/>
    <x v="360"/>
    <x v="300"/>
    <x v="3"/>
    <x v="1"/>
    <x v="0"/>
    <x v="2"/>
    <x v="4"/>
    <n v="42.21"/>
    <x v="4"/>
    <n v="379.89"/>
    <n v="18.994499999999999"/>
    <n v="360.895499999999"/>
    <n v="53.26"/>
    <n v="479.34"/>
    <n v="-118.44450000000001"/>
    <n v="-32.819611217097403"/>
  </r>
  <r>
    <x v="361"/>
    <x v="361"/>
    <x v="301"/>
    <x v="1"/>
    <x v="1"/>
    <x v="1"/>
    <x v="3"/>
    <x v="7"/>
    <n v="245.22"/>
    <x v="3"/>
    <n v="1961.76"/>
    <n v="196.17599999999999"/>
    <n v="1765.5840000000001"/>
    <n v="124.17"/>
    <n v="993.36"/>
    <n v="772.22400000000005"/>
    <n v="43.737596172144698"/>
  </r>
  <r>
    <x v="362"/>
    <x v="362"/>
    <x v="302"/>
    <x v="1"/>
    <x v="0"/>
    <x v="0"/>
    <x v="2"/>
    <x v="6"/>
    <n v="195.28"/>
    <x v="0"/>
    <n v="1171.68"/>
    <n v="175.75200000000001"/>
    <n v="995.928"/>
    <n v="144.74"/>
    <n v="868.44"/>
    <n v="127.488"/>
    <n v="12.8009253680989"/>
  </r>
  <r>
    <x v="363"/>
    <x v="363"/>
    <x v="299"/>
    <x v="1"/>
    <x v="0"/>
    <x v="0"/>
    <x v="3"/>
    <x v="7"/>
    <n v="93.85"/>
    <x v="4"/>
    <n v="750.8"/>
    <n v="37.54"/>
    <n v="713.26"/>
    <n v="52.55"/>
    <n v="420.4"/>
    <n v="292.86"/>
    <n v="41.059361242744501"/>
  </r>
  <r>
    <x v="364"/>
    <x v="364"/>
    <x v="303"/>
    <x v="3"/>
    <x v="0"/>
    <x v="2"/>
    <x v="0"/>
    <x v="1"/>
    <n v="25.78"/>
    <x v="3"/>
    <n v="128.9"/>
    <n v="12.89"/>
    <n v="116.01"/>
    <n v="115.45"/>
    <n v="577.25"/>
    <n v="-461.24"/>
    <n v="-397.586414964227"/>
  </r>
  <r>
    <x v="365"/>
    <x v="365"/>
    <x v="304"/>
    <x v="2"/>
    <x v="1"/>
    <x v="3"/>
    <x v="3"/>
    <x v="2"/>
    <n v="109.46"/>
    <x v="2"/>
    <n v="109.46"/>
    <n v="0"/>
    <n v="109.46"/>
    <n v="82.96"/>
    <n v="82.96"/>
    <n v="26.5"/>
    <n v="24.209756988854298"/>
  </r>
  <r>
    <x v="366"/>
    <x v="366"/>
    <x v="305"/>
    <x v="0"/>
    <x v="0"/>
    <x v="3"/>
    <x v="5"/>
    <x v="0"/>
    <n v="140.09"/>
    <x v="4"/>
    <n v="280.18"/>
    <n v="14.009"/>
    <n v="266.17099999999999"/>
    <n v="105.43"/>
    <n v="210.86"/>
    <n v="55.3109999999999"/>
    <n v="20.780250290226899"/>
  </r>
  <r>
    <x v="367"/>
    <x v="367"/>
    <x v="306"/>
    <x v="3"/>
    <x v="1"/>
    <x v="0"/>
    <x v="5"/>
    <x v="3"/>
    <n v="93.98"/>
    <x v="1"/>
    <n v="375.92"/>
    <n v="75.183999999999997"/>
    <n v="300.73599999999999"/>
    <n v="58.13"/>
    <n v="232.52"/>
    <n v="68.215999999999894"/>
    <n v="22.683017663332599"/>
  </r>
  <r>
    <x v="368"/>
    <x v="368"/>
    <x v="307"/>
    <x v="2"/>
    <x v="0"/>
    <x v="2"/>
    <x v="2"/>
    <x v="4"/>
    <n v="205.1"/>
    <x v="1"/>
    <n v="1845.8999999999901"/>
    <n v="369.18"/>
    <n v="1476.71999999999"/>
    <n v="56.24"/>
    <n v="506.16"/>
    <n v="970.55999999999904"/>
    <n v="65.724037055094996"/>
  </r>
  <r>
    <x v="369"/>
    <x v="369"/>
    <x v="308"/>
    <x v="3"/>
    <x v="1"/>
    <x v="3"/>
    <x v="6"/>
    <x v="8"/>
    <n v="100.57"/>
    <x v="0"/>
    <n v="703.99"/>
    <n v="105.5985"/>
    <n v="598.39149999999995"/>
    <n v="34.9"/>
    <n v="244.29999999999899"/>
    <n v="354.0915"/>
    <n v="59.173885324239997"/>
  </r>
  <r>
    <x v="370"/>
    <x v="370"/>
    <x v="118"/>
    <x v="2"/>
    <x v="0"/>
    <x v="3"/>
    <x v="1"/>
    <x v="2"/>
    <n v="137.51"/>
    <x v="1"/>
    <n v="137.51"/>
    <n v="27.501999999999999"/>
    <n v="110.008"/>
    <n v="77.709999999999994"/>
    <n v="77.709999999999994"/>
    <n v="32.298000000000002"/>
    <n v="29.359682932150299"/>
  </r>
  <r>
    <x v="371"/>
    <x v="371"/>
    <x v="32"/>
    <x v="2"/>
    <x v="1"/>
    <x v="1"/>
    <x v="1"/>
    <x v="5"/>
    <n v="148.61000000000001"/>
    <x v="3"/>
    <n v="445.83"/>
    <n v="44.582999999999998"/>
    <n v="401.24700000000001"/>
    <n v="13.09"/>
    <n v="39.269999999999897"/>
    <n v="361.97699999999998"/>
    <n v="90.213010938399506"/>
  </r>
  <r>
    <x v="372"/>
    <x v="372"/>
    <x v="309"/>
    <x v="0"/>
    <x v="0"/>
    <x v="3"/>
    <x v="3"/>
    <x v="6"/>
    <n v="198.51"/>
    <x v="2"/>
    <n v="1191.06"/>
    <n v="0"/>
    <n v="1191.06"/>
    <n v="129.75"/>
    <n v="778.5"/>
    <n v="412.55999999999898"/>
    <n v="34.638053498564297"/>
  </r>
  <r>
    <x v="373"/>
    <x v="373"/>
    <x v="112"/>
    <x v="3"/>
    <x v="0"/>
    <x v="1"/>
    <x v="4"/>
    <x v="1"/>
    <n v="32.909999999999997"/>
    <x v="1"/>
    <n v="164.54999999999899"/>
    <n v="32.909999999999997"/>
    <n v="131.63999999999999"/>
    <n v="40.380000000000003"/>
    <n v="201.9"/>
    <n v="-70.260000000000005"/>
    <n v="-53.372835004557899"/>
  </r>
  <r>
    <x v="374"/>
    <x v="374"/>
    <x v="119"/>
    <x v="0"/>
    <x v="1"/>
    <x v="2"/>
    <x v="6"/>
    <x v="1"/>
    <n v="210.52"/>
    <x v="2"/>
    <n v="1052.5999999999999"/>
    <n v="0"/>
    <n v="1052.5999999999999"/>
    <n v="96.89"/>
    <n v="484.45"/>
    <n v="568.15"/>
    <n v="53.9758692760782"/>
  </r>
  <r>
    <x v="375"/>
    <x v="375"/>
    <x v="310"/>
    <x v="0"/>
    <x v="0"/>
    <x v="0"/>
    <x v="6"/>
    <x v="7"/>
    <n v="150.9"/>
    <x v="0"/>
    <n v="1207.2"/>
    <n v="181.08"/>
    <n v="1026.1199999999999"/>
    <n v="78.36"/>
    <n v="626.88"/>
    <n v="399.24"/>
    <n v="38.907730090047899"/>
  </r>
  <r>
    <x v="376"/>
    <x v="376"/>
    <x v="311"/>
    <x v="1"/>
    <x v="0"/>
    <x v="0"/>
    <x v="5"/>
    <x v="1"/>
    <n v="209.63"/>
    <x v="1"/>
    <n v="1048.1500000000001"/>
    <n v="209.63"/>
    <n v="838.52"/>
    <n v="55.38"/>
    <n v="276.89999999999998"/>
    <n v="561.62"/>
    <n v="66.9775318418165"/>
  </r>
  <r>
    <x v="377"/>
    <x v="377"/>
    <x v="305"/>
    <x v="2"/>
    <x v="1"/>
    <x v="3"/>
    <x v="6"/>
    <x v="0"/>
    <n v="129.81"/>
    <x v="0"/>
    <n v="259.62"/>
    <n v="38.942999999999998"/>
    <n v="220.67699999999999"/>
    <n v="141.85"/>
    <n v="283.7"/>
    <n v="-63.022999999999897"/>
    <n v="-28.558934551403102"/>
  </r>
  <r>
    <x v="378"/>
    <x v="378"/>
    <x v="76"/>
    <x v="1"/>
    <x v="0"/>
    <x v="3"/>
    <x v="5"/>
    <x v="5"/>
    <n v="145"/>
    <x v="0"/>
    <n v="435"/>
    <n v="65.25"/>
    <n v="369.75"/>
    <n v="128.1"/>
    <n v="384.29999999999899"/>
    <n v="-14.549999999999899"/>
    <n v="-3.9350912778904501"/>
  </r>
  <r>
    <x v="379"/>
    <x v="379"/>
    <x v="96"/>
    <x v="0"/>
    <x v="1"/>
    <x v="0"/>
    <x v="0"/>
    <x v="7"/>
    <n v="233.82"/>
    <x v="2"/>
    <n v="1870.56"/>
    <n v="0"/>
    <n v="1870.56"/>
    <n v="111.63"/>
    <n v="893.04"/>
    <n v="977.52"/>
    <n v="52.258147292789303"/>
  </r>
  <r>
    <x v="380"/>
    <x v="380"/>
    <x v="312"/>
    <x v="0"/>
    <x v="0"/>
    <x v="1"/>
    <x v="5"/>
    <x v="4"/>
    <n v="159.38999999999999"/>
    <x v="4"/>
    <n v="1434.50999999999"/>
    <n v="71.725499999999997"/>
    <n v="1362.78449999999"/>
    <n v="22.16"/>
    <n v="199.44"/>
    <n v="1163.3444999999899"/>
    <n v="85.365257676470407"/>
  </r>
  <r>
    <x v="381"/>
    <x v="381"/>
    <x v="304"/>
    <x v="0"/>
    <x v="0"/>
    <x v="3"/>
    <x v="4"/>
    <x v="8"/>
    <n v="164.88"/>
    <x v="2"/>
    <n v="1154.1599999999901"/>
    <n v="0"/>
    <n v="1154.1599999999901"/>
    <n v="72.040000000000006"/>
    <n v="504.28"/>
    <n v="649.87999999999897"/>
    <n v="56.307617661329402"/>
  </r>
  <r>
    <x v="382"/>
    <x v="382"/>
    <x v="313"/>
    <x v="1"/>
    <x v="1"/>
    <x v="1"/>
    <x v="5"/>
    <x v="6"/>
    <n v="210.98"/>
    <x v="2"/>
    <n v="1265.8799999999901"/>
    <n v="0"/>
    <n v="1265.8799999999901"/>
    <n v="99.41"/>
    <n v="596.46"/>
    <n v="669.41999999999905"/>
    <n v="52.881789743103603"/>
  </r>
  <r>
    <x v="383"/>
    <x v="383"/>
    <x v="314"/>
    <x v="0"/>
    <x v="0"/>
    <x v="0"/>
    <x v="2"/>
    <x v="3"/>
    <n v="227.99"/>
    <x v="3"/>
    <n v="911.96"/>
    <n v="91.195999999999998"/>
    <n v="820.76400000000001"/>
    <n v="18.829999999999998"/>
    <n v="75.319999999999993"/>
    <n v="745.44399999999996"/>
    <n v="90.823184252720594"/>
  </r>
  <r>
    <x v="384"/>
    <x v="384"/>
    <x v="315"/>
    <x v="0"/>
    <x v="1"/>
    <x v="3"/>
    <x v="3"/>
    <x v="8"/>
    <n v="68.47"/>
    <x v="0"/>
    <n v="479.289999999999"/>
    <n v="71.893499999999904"/>
    <n v="407.39649999999898"/>
    <n v="105.89"/>
    <n v="741.23"/>
    <n v="-333.83350000000002"/>
    <n v="-81.943143841441895"/>
  </r>
  <r>
    <x v="385"/>
    <x v="385"/>
    <x v="188"/>
    <x v="0"/>
    <x v="1"/>
    <x v="0"/>
    <x v="1"/>
    <x v="2"/>
    <n v="168.91"/>
    <x v="0"/>
    <n v="168.91"/>
    <n v="25.336499999999901"/>
    <n v="143.5735"/>
    <n v="123.38"/>
    <n v="123.38"/>
    <n v="20.1935"/>
    <n v="14.064921451382"/>
  </r>
  <r>
    <x v="386"/>
    <x v="386"/>
    <x v="164"/>
    <x v="0"/>
    <x v="1"/>
    <x v="2"/>
    <x v="1"/>
    <x v="8"/>
    <n v="38.89"/>
    <x v="2"/>
    <n v="272.23"/>
    <n v="0"/>
    <n v="272.23"/>
    <n v="142.63"/>
    <n v="998.41"/>
    <n v="-726.18"/>
    <n v="-266.75237850347099"/>
  </r>
  <r>
    <x v="387"/>
    <x v="387"/>
    <x v="316"/>
    <x v="1"/>
    <x v="0"/>
    <x v="1"/>
    <x v="2"/>
    <x v="2"/>
    <n v="25.67"/>
    <x v="3"/>
    <n v="25.67"/>
    <n v="2.5670000000000002"/>
    <n v="23.103000000000002"/>
    <n v="77.8"/>
    <n v="77.8"/>
    <n v="-54.696999999999903"/>
    <n v="-236.75280266632001"/>
  </r>
  <r>
    <x v="388"/>
    <x v="388"/>
    <x v="317"/>
    <x v="1"/>
    <x v="1"/>
    <x v="2"/>
    <x v="2"/>
    <x v="8"/>
    <n v="162.94"/>
    <x v="0"/>
    <n v="1140.58"/>
    <n v="171.08699999999999"/>
    <n v="969.49299999999903"/>
    <n v="9.16"/>
    <n v="64.12"/>
    <n v="905.37299999999902"/>
    <n v="93.386233835623301"/>
  </r>
  <r>
    <x v="389"/>
    <x v="389"/>
    <x v="318"/>
    <x v="2"/>
    <x v="1"/>
    <x v="2"/>
    <x v="1"/>
    <x v="6"/>
    <n v="127.65"/>
    <x v="3"/>
    <n v="765.9"/>
    <n v="76.59"/>
    <n v="689.31"/>
    <n v="35.159999999999997"/>
    <n v="210.95999999999901"/>
    <n v="478.35"/>
    <n v="69.395482438960698"/>
  </r>
  <r>
    <x v="390"/>
    <x v="390"/>
    <x v="319"/>
    <x v="0"/>
    <x v="0"/>
    <x v="3"/>
    <x v="4"/>
    <x v="0"/>
    <n v="221.52"/>
    <x v="4"/>
    <n v="443.04"/>
    <n v="22.152000000000001"/>
    <n v="420.88799999999998"/>
    <n v="121.76"/>
    <n v="243.52"/>
    <n v="177.36799999999999"/>
    <n v="42.141377278515897"/>
  </r>
  <r>
    <x v="391"/>
    <x v="391"/>
    <x v="59"/>
    <x v="3"/>
    <x v="0"/>
    <x v="0"/>
    <x v="5"/>
    <x v="0"/>
    <n v="98.54"/>
    <x v="0"/>
    <n v="197.08"/>
    <n v="29.562000000000001"/>
    <n v="167.518"/>
    <n v="26.51"/>
    <n v="53.02"/>
    <n v="114.497999999999"/>
    <n v="68.349669886221093"/>
  </r>
  <r>
    <x v="392"/>
    <x v="392"/>
    <x v="320"/>
    <x v="1"/>
    <x v="1"/>
    <x v="1"/>
    <x v="2"/>
    <x v="1"/>
    <n v="215.07"/>
    <x v="1"/>
    <n v="1075.3499999999999"/>
    <n v="215.07"/>
    <n v="860.28"/>
    <n v="95.23"/>
    <n v="476.15"/>
    <n v="384.12999999999897"/>
    <n v="44.651741293532297"/>
  </r>
  <r>
    <x v="393"/>
    <x v="393"/>
    <x v="321"/>
    <x v="1"/>
    <x v="1"/>
    <x v="1"/>
    <x v="0"/>
    <x v="6"/>
    <n v="193.14"/>
    <x v="3"/>
    <n v="1158.8399999999999"/>
    <n v="115.884"/>
    <n v="1042.9559999999999"/>
    <n v="99.71"/>
    <n v="598.26"/>
    <n v="444.695999999999"/>
    <n v="42.6380403391897"/>
  </r>
  <r>
    <x v="394"/>
    <x v="394"/>
    <x v="322"/>
    <x v="2"/>
    <x v="0"/>
    <x v="2"/>
    <x v="2"/>
    <x v="6"/>
    <n v="88.09"/>
    <x v="0"/>
    <n v="528.54"/>
    <n v="79.280999999999906"/>
    <n v="449.25899999999899"/>
    <n v="69.459999999999994"/>
    <n v="416.76"/>
    <n v="32.498999999999903"/>
    <n v="7.2339118414989896"/>
  </r>
  <r>
    <x v="395"/>
    <x v="395"/>
    <x v="20"/>
    <x v="0"/>
    <x v="1"/>
    <x v="3"/>
    <x v="5"/>
    <x v="2"/>
    <n v="76.790000000000006"/>
    <x v="2"/>
    <n v="76.790000000000006"/>
    <n v="0"/>
    <n v="76.790000000000006"/>
    <n v="118.85"/>
    <n v="118.85"/>
    <n v="-42.059999999999903"/>
    <n v="-54.772756869383997"/>
  </r>
  <r>
    <x v="396"/>
    <x v="396"/>
    <x v="323"/>
    <x v="1"/>
    <x v="0"/>
    <x v="2"/>
    <x v="6"/>
    <x v="4"/>
    <n v="180.27"/>
    <x v="2"/>
    <n v="1622.43"/>
    <n v="0"/>
    <n v="1622.43"/>
    <n v="22.82"/>
    <n v="205.38"/>
    <n v="1417.05"/>
    <n v="87.341210406612305"/>
  </r>
  <r>
    <x v="397"/>
    <x v="397"/>
    <x v="324"/>
    <x v="2"/>
    <x v="0"/>
    <x v="1"/>
    <x v="6"/>
    <x v="6"/>
    <n v="196.2"/>
    <x v="1"/>
    <n v="1177.19999999999"/>
    <n v="235.439999999999"/>
    <n v="941.75999999999897"/>
    <n v="94.91"/>
    <n v="569.46"/>
    <n v="372.29999999999899"/>
    <n v="39.532364933741"/>
  </r>
  <r>
    <x v="398"/>
    <x v="398"/>
    <x v="325"/>
    <x v="3"/>
    <x v="1"/>
    <x v="1"/>
    <x v="5"/>
    <x v="4"/>
    <n v="148.32"/>
    <x v="3"/>
    <n v="1334.8799999999901"/>
    <n v="133.488"/>
    <n v="1201.39199999999"/>
    <n v="60.17"/>
    <n v="541.53"/>
    <n v="659.86199999999894"/>
    <n v="54.924787246793699"/>
  </r>
  <r>
    <x v="399"/>
    <x v="399"/>
    <x v="326"/>
    <x v="3"/>
    <x v="0"/>
    <x v="0"/>
    <x v="0"/>
    <x v="3"/>
    <n v="42.86"/>
    <x v="3"/>
    <n v="171.44"/>
    <n v="17.143999999999998"/>
    <n v="154.29599999999999"/>
    <n v="129.34"/>
    <n v="517.36"/>
    <n v="-363.06400000000002"/>
    <n v="-235.303572354435"/>
  </r>
  <r>
    <x v="400"/>
    <x v="400"/>
    <x v="131"/>
    <x v="3"/>
    <x v="0"/>
    <x v="3"/>
    <x v="1"/>
    <x v="0"/>
    <n v="201.66"/>
    <x v="2"/>
    <n v="403.32"/>
    <n v="0"/>
    <n v="403.32"/>
    <n v="62.46"/>
    <n v="124.92"/>
    <n v="278.39999999999998"/>
    <n v="69.027075275215694"/>
  </r>
  <r>
    <x v="401"/>
    <x v="401"/>
    <x v="245"/>
    <x v="0"/>
    <x v="1"/>
    <x v="1"/>
    <x v="4"/>
    <x v="8"/>
    <n v="160.79"/>
    <x v="1"/>
    <n v="1125.53"/>
    <n v="225.10599999999999"/>
    <n v="900.42399999999998"/>
    <n v="32.380000000000003"/>
    <n v="226.66"/>
    <n v="673.76399999999899"/>
    <n v="74.827414640213902"/>
  </r>
  <r>
    <x v="402"/>
    <x v="402"/>
    <x v="327"/>
    <x v="1"/>
    <x v="1"/>
    <x v="0"/>
    <x v="6"/>
    <x v="7"/>
    <n v="164.16"/>
    <x v="4"/>
    <n v="1313.28"/>
    <n v="65.664000000000001"/>
    <n v="1247.616"/>
    <n v="54.95"/>
    <n v="439.6"/>
    <n v="808.01599999999996"/>
    <n v="64.764799425464204"/>
  </r>
  <r>
    <x v="403"/>
    <x v="403"/>
    <x v="328"/>
    <x v="1"/>
    <x v="0"/>
    <x v="2"/>
    <x v="0"/>
    <x v="7"/>
    <n v="138.32"/>
    <x v="3"/>
    <n v="1106.56"/>
    <n v="110.65600000000001"/>
    <n v="995.904"/>
    <n v="81.12"/>
    <n v="648.96"/>
    <n v="346.94399999999899"/>
    <n v="34.8370927318295"/>
  </r>
  <r>
    <x v="404"/>
    <x v="404"/>
    <x v="329"/>
    <x v="3"/>
    <x v="1"/>
    <x v="1"/>
    <x v="0"/>
    <x v="7"/>
    <n v="106.67"/>
    <x v="4"/>
    <n v="853.36"/>
    <n v="42.667999999999999"/>
    <n v="810.69200000000001"/>
    <n v="16.62"/>
    <n v="132.96"/>
    <n v="677.73199999999997"/>
    <n v="83.599196735628297"/>
  </r>
  <r>
    <x v="405"/>
    <x v="405"/>
    <x v="330"/>
    <x v="0"/>
    <x v="0"/>
    <x v="0"/>
    <x v="4"/>
    <x v="4"/>
    <n v="205.32"/>
    <x v="3"/>
    <n v="1847.8799999999901"/>
    <n v="184.78800000000001"/>
    <n v="1663.0919999999901"/>
    <n v="130.25"/>
    <n v="1172.25"/>
    <n v="490.84199999999902"/>
    <n v="29.513821243803701"/>
  </r>
  <r>
    <x v="406"/>
    <x v="406"/>
    <x v="49"/>
    <x v="0"/>
    <x v="0"/>
    <x v="3"/>
    <x v="2"/>
    <x v="4"/>
    <n v="136.41"/>
    <x v="2"/>
    <n v="1227.69"/>
    <n v="0"/>
    <n v="1227.69"/>
    <n v="99.43"/>
    <n v="894.87"/>
    <n v="332.81999999999903"/>
    <n v="27.109449453852299"/>
  </r>
  <r>
    <x v="407"/>
    <x v="407"/>
    <x v="298"/>
    <x v="0"/>
    <x v="0"/>
    <x v="2"/>
    <x v="1"/>
    <x v="0"/>
    <n v="189.57"/>
    <x v="1"/>
    <n v="379.14"/>
    <n v="75.828000000000003"/>
    <n v="303.31200000000001"/>
    <n v="50.35"/>
    <n v="100.7"/>
    <n v="202.61199999999999"/>
    <n v="66.799862847496897"/>
  </r>
  <r>
    <x v="408"/>
    <x v="408"/>
    <x v="316"/>
    <x v="2"/>
    <x v="1"/>
    <x v="2"/>
    <x v="1"/>
    <x v="0"/>
    <n v="133.97999999999999"/>
    <x v="2"/>
    <n v="267.95999999999998"/>
    <n v="0"/>
    <n v="267.95999999999998"/>
    <n v="93.17"/>
    <n v="186.34"/>
    <n v="81.619999999999905"/>
    <n v="30.459770114942501"/>
  </r>
  <r>
    <x v="409"/>
    <x v="409"/>
    <x v="331"/>
    <x v="3"/>
    <x v="1"/>
    <x v="3"/>
    <x v="2"/>
    <x v="2"/>
    <n v="42.94"/>
    <x v="2"/>
    <n v="42.94"/>
    <n v="0"/>
    <n v="42.94"/>
    <n v="147.63999999999999"/>
    <n v="147.63999999999999"/>
    <n v="-104.69999999999899"/>
    <n v="-243.82859804378199"/>
  </r>
  <r>
    <x v="410"/>
    <x v="410"/>
    <x v="271"/>
    <x v="0"/>
    <x v="1"/>
    <x v="0"/>
    <x v="5"/>
    <x v="0"/>
    <n v="38.93"/>
    <x v="4"/>
    <n v="77.86"/>
    <n v="3.8929999999999998"/>
    <n v="73.966999999999999"/>
    <n v="92.41"/>
    <n v="184.82"/>
    <n v="-110.85299999999999"/>
    <n v="-149.868184460637"/>
  </r>
  <r>
    <x v="411"/>
    <x v="411"/>
    <x v="332"/>
    <x v="1"/>
    <x v="1"/>
    <x v="3"/>
    <x v="0"/>
    <x v="8"/>
    <n v="17.43"/>
    <x v="3"/>
    <n v="122.009999999999"/>
    <n v="12.201000000000001"/>
    <n v="109.809"/>
    <n v="63.91"/>
    <n v="447.37"/>
    <n v="-337.56099999999998"/>
    <n v="-307.40740740740699"/>
  </r>
  <r>
    <x v="412"/>
    <x v="412"/>
    <x v="242"/>
    <x v="3"/>
    <x v="1"/>
    <x v="3"/>
    <x v="6"/>
    <x v="7"/>
    <n v="82.85"/>
    <x v="3"/>
    <n v="662.8"/>
    <n v="66.28"/>
    <n v="596.52"/>
    <n v="103.81"/>
    <n v="830.48"/>
    <n v="-233.96"/>
    <n v="-39.220814054851402"/>
  </r>
  <r>
    <x v="413"/>
    <x v="413"/>
    <x v="333"/>
    <x v="2"/>
    <x v="1"/>
    <x v="1"/>
    <x v="6"/>
    <x v="2"/>
    <n v="41.33"/>
    <x v="0"/>
    <n v="41.33"/>
    <n v="6.1994999999999996"/>
    <n v="35.130499999999998"/>
    <n v="114.66"/>
    <n v="114.66"/>
    <n v="-79.529499999999999"/>
    <n v="-226.38305745719501"/>
  </r>
  <r>
    <x v="414"/>
    <x v="414"/>
    <x v="334"/>
    <x v="0"/>
    <x v="0"/>
    <x v="0"/>
    <x v="2"/>
    <x v="8"/>
    <n v="203.96"/>
    <x v="4"/>
    <n v="1427.72"/>
    <n v="71.385999999999996"/>
    <n v="1356.3340000000001"/>
    <n v="104.56"/>
    <n v="731.92"/>
    <n v="624.41399999999999"/>
    <n v="46.036890618387503"/>
  </r>
  <r>
    <x v="415"/>
    <x v="415"/>
    <x v="335"/>
    <x v="1"/>
    <x v="1"/>
    <x v="0"/>
    <x v="1"/>
    <x v="0"/>
    <n v="130.84"/>
    <x v="3"/>
    <n v="261.68"/>
    <n v="26.167999999999999"/>
    <n v="235.512"/>
    <n v="35.61"/>
    <n v="71.22"/>
    <n v="164.292"/>
    <n v="69.759502700499297"/>
  </r>
  <r>
    <x v="416"/>
    <x v="416"/>
    <x v="336"/>
    <x v="1"/>
    <x v="0"/>
    <x v="2"/>
    <x v="4"/>
    <x v="0"/>
    <n v="147.21"/>
    <x v="1"/>
    <n v="294.42"/>
    <n v="58.884"/>
    <n v="235.536"/>
    <n v="8.0299999999999994"/>
    <n v="16.059999999999999"/>
    <n v="219.476"/>
    <n v="93.181509408328196"/>
  </r>
  <r>
    <x v="417"/>
    <x v="417"/>
    <x v="150"/>
    <x v="2"/>
    <x v="1"/>
    <x v="3"/>
    <x v="2"/>
    <x v="2"/>
    <n v="120.22"/>
    <x v="2"/>
    <n v="120.22"/>
    <n v="0"/>
    <n v="120.22"/>
    <n v="50.95"/>
    <n v="50.95"/>
    <n v="69.27"/>
    <n v="57.6193644984195"/>
  </r>
  <r>
    <x v="418"/>
    <x v="418"/>
    <x v="337"/>
    <x v="0"/>
    <x v="1"/>
    <x v="0"/>
    <x v="5"/>
    <x v="2"/>
    <n v="168.83"/>
    <x v="3"/>
    <n v="168.83"/>
    <n v="16.882999999999999"/>
    <n v="151.947"/>
    <n v="68.03"/>
    <n v="68.03"/>
    <n v="83.917000000000002"/>
    <n v="55.227809696802098"/>
  </r>
  <r>
    <x v="419"/>
    <x v="419"/>
    <x v="338"/>
    <x v="1"/>
    <x v="0"/>
    <x v="2"/>
    <x v="2"/>
    <x v="3"/>
    <n v="135.77000000000001"/>
    <x v="0"/>
    <n v="543.08000000000004"/>
    <n v="81.462000000000003"/>
    <n v="461.61799999999999"/>
    <n v="125.54"/>
    <n v="502.16"/>
    <n v="-40.541999999999902"/>
    <n v="-8.7825864675987404"/>
  </r>
  <r>
    <x v="420"/>
    <x v="420"/>
    <x v="339"/>
    <x v="3"/>
    <x v="0"/>
    <x v="0"/>
    <x v="6"/>
    <x v="1"/>
    <n v="234.23"/>
    <x v="1"/>
    <n v="1171.1499999999901"/>
    <n v="234.23"/>
    <n v="936.91999999999905"/>
    <n v="17.809999999999999"/>
    <n v="89.05"/>
    <n v="847.86999999999898"/>
    <n v="90.495453187038393"/>
  </r>
  <r>
    <x v="421"/>
    <x v="421"/>
    <x v="340"/>
    <x v="3"/>
    <x v="1"/>
    <x v="3"/>
    <x v="1"/>
    <x v="7"/>
    <n v="212"/>
    <x v="0"/>
    <n v="1696"/>
    <n v="254.39999999999901"/>
    <n v="1441.6"/>
    <n v="127.33"/>
    <n v="1018.64"/>
    <n v="422.95999999999901"/>
    <n v="29.339622641509401"/>
  </r>
  <r>
    <x v="422"/>
    <x v="422"/>
    <x v="255"/>
    <x v="3"/>
    <x v="1"/>
    <x v="2"/>
    <x v="6"/>
    <x v="7"/>
    <n v="54.55"/>
    <x v="3"/>
    <n v="436.4"/>
    <n v="43.64"/>
    <n v="392.76"/>
    <n v="13.62"/>
    <n v="108.96"/>
    <n v="283.8"/>
    <n v="72.257867399938903"/>
  </r>
  <r>
    <x v="423"/>
    <x v="423"/>
    <x v="217"/>
    <x v="0"/>
    <x v="1"/>
    <x v="0"/>
    <x v="6"/>
    <x v="7"/>
    <n v="219.66"/>
    <x v="3"/>
    <n v="1757.28"/>
    <n v="175.72800000000001"/>
    <n v="1581.5519999999999"/>
    <n v="50.52"/>
    <n v="404.16"/>
    <n v="1177.39199999999"/>
    <n v="74.445354942486802"/>
  </r>
  <r>
    <x v="424"/>
    <x v="424"/>
    <x v="341"/>
    <x v="3"/>
    <x v="1"/>
    <x v="0"/>
    <x v="2"/>
    <x v="0"/>
    <n v="122.67"/>
    <x v="2"/>
    <n v="245.34"/>
    <n v="0"/>
    <n v="245.34"/>
    <n v="63.59"/>
    <n v="127.18"/>
    <n v="118.16"/>
    <n v="48.161734735469103"/>
  </r>
  <r>
    <x v="425"/>
    <x v="425"/>
    <x v="342"/>
    <x v="1"/>
    <x v="1"/>
    <x v="2"/>
    <x v="2"/>
    <x v="2"/>
    <n v="242.37"/>
    <x v="4"/>
    <n v="242.37"/>
    <n v="12.118499999999999"/>
    <n v="230.25149999999999"/>
    <n v="140.1"/>
    <n v="140.1"/>
    <n v="90.151499999999999"/>
    <n v="39.153490856737001"/>
  </r>
  <r>
    <x v="426"/>
    <x v="426"/>
    <x v="343"/>
    <x v="3"/>
    <x v="1"/>
    <x v="2"/>
    <x v="0"/>
    <x v="3"/>
    <n v="153.54"/>
    <x v="2"/>
    <n v="614.16"/>
    <n v="0"/>
    <n v="614.16"/>
    <n v="142.61000000000001"/>
    <n v="570.44000000000005"/>
    <n v="43.719999999999899"/>
    <n v="7.1186661456297902"/>
  </r>
  <r>
    <x v="427"/>
    <x v="427"/>
    <x v="344"/>
    <x v="3"/>
    <x v="1"/>
    <x v="0"/>
    <x v="5"/>
    <x v="6"/>
    <n v="10.02"/>
    <x v="0"/>
    <n v="60.12"/>
    <n v="9.01799999999999"/>
    <n v="51.101999999999997"/>
    <n v="10.9"/>
    <n v="65.400000000000006"/>
    <n v="-14.298"/>
    <n v="-27.979335446753499"/>
  </r>
  <r>
    <x v="428"/>
    <x v="428"/>
    <x v="345"/>
    <x v="2"/>
    <x v="1"/>
    <x v="2"/>
    <x v="5"/>
    <x v="7"/>
    <n v="12.15"/>
    <x v="0"/>
    <n v="97.2"/>
    <n v="14.58"/>
    <n v="82.62"/>
    <n v="33.409999999999997"/>
    <n v="267.27999999999997"/>
    <n v="-184.659999999999"/>
    <n v="-223.50520455095599"/>
  </r>
  <r>
    <x v="429"/>
    <x v="429"/>
    <x v="262"/>
    <x v="0"/>
    <x v="1"/>
    <x v="2"/>
    <x v="1"/>
    <x v="4"/>
    <n v="74.72"/>
    <x v="2"/>
    <n v="672.48"/>
    <n v="0"/>
    <n v="672.48"/>
    <n v="69.989999999999995"/>
    <n v="629.91"/>
    <n v="42.57"/>
    <n v="6.3302997858672398"/>
  </r>
  <r>
    <x v="430"/>
    <x v="430"/>
    <x v="346"/>
    <x v="0"/>
    <x v="1"/>
    <x v="1"/>
    <x v="4"/>
    <x v="4"/>
    <n v="207.58"/>
    <x v="3"/>
    <n v="1868.22"/>
    <n v="186.822"/>
    <n v="1681.3979999999999"/>
    <n v="44.5"/>
    <n v="400.5"/>
    <n v="1280.8979999999999"/>
    <n v="76.180535482973099"/>
  </r>
  <r>
    <x v="431"/>
    <x v="431"/>
    <x v="347"/>
    <x v="0"/>
    <x v="0"/>
    <x v="1"/>
    <x v="0"/>
    <x v="8"/>
    <n v="142.82"/>
    <x v="0"/>
    <n v="999.74"/>
    <n v="149.96099999999899"/>
    <n v="849.779"/>
    <n v="143.24"/>
    <n v="1002.68"/>
    <n v="-152.90100000000001"/>
    <n v="-17.993031129270001"/>
  </r>
  <r>
    <x v="432"/>
    <x v="432"/>
    <x v="348"/>
    <x v="2"/>
    <x v="1"/>
    <x v="0"/>
    <x v="6"/>
    <x v="2"/>
    <n v="29.68"/>
    <x v="3"/>
    <n v="29.68"/>
    <n v="2.968"/>
    <n v="26.712"/>
    <n v="93.76"/>
    <n v="93.76"/>
    <n v="-67.048000000000002"/>
    <n v="-251.00329439952"/>
  </r>
  <r>
    <x v="433"/>
    <x v="433"/>
    <x v="349"/>
    <x v="0"/>
    <x v="0"/>
    <x v="0"/>
    <x v="4"/>
    <x v="4"/>
    <n v="128.07"/>
    <x v="1"/>
    <n v="1152.6299999999901"/>
    <n v="230.52599999999899"/>
    <n v="922.10399999999902"/>
    <n v="52.35"/>
    <n v="471.15"/>
    <n v="450.95399999999898"/>
    <n v="48.904895760131097"/>
  </r>
  <r>
    <x v="434"/>
    <x v="434"/>
    <x v="350"/>
    <x v="2"/>
    <x v="1"/>
    <x v="2"/>
    <x v="1"/>
    <x v="6"/>
    <n v="60.95"/>
    <x v="0"/>
    <n v="365.7"/>
    <n v="54.854999999999997"/>
    <n v="310.84500000000003"/>
    <n v="91.96"/>
    <n v="551.76"/>
    <n v="-240.914999999999"/>
    <n v="-77.503257250398093"/>
  </r>
  <r>
    <x v="435"/>
    <x v="435"/>
    <x v="351"/>
    <x v="1"/>
    <x v="1"/>
    <x v="3"/>
    <x v="0"/>
    <x v="3"/>
    <n v="22.98"/>
    <x v="1"/>
    <n v="91.92"/>
    <n v="18.384"/>
    <n v="73.536000000000001"/>
    <n v="102.79"/>
    <n v="411.16"/>
    <n v="-337.62400000000002"/>
    <n v="-459.12750217580498"/>
  </r>
  <r>
    <x v="436"/>
    <x v="436"/>
    <x v="352"/>
    <x v="1"/>
    <x v="0"/>
    <x v="2"/>
    <x v="6"/>
    <x v="0"/>
    <n v="96.01"/>
    <x v="3"/>
    <n v="192.02"/>
    <n v="19.202000000000002"/>
    <n v="172.81800000000001"/>
    <n v="129.21"/>
    <n v="258.42"/>
    <n v="-85.602000000000004"/>
    <n v="-49.533034753324301"/>
  </r>
  <r>
    <x v="437"/>
    <x v="437"/>
    <x v="353"/>
    <x v="1"/>
    <x v="0"/>
    <x v="3"/>
    <x v="2"/>
    <x v="0"/>
    <n v="54.08"/>
    <x v="4"/>
    <n v="108.16"/>
    <n v="5.4080000000000004"/>
    <n v="102.752"/>
    <n v="133.69"/>
    <n v="267.38"/>
    <n v="-164.62799999999999"/>
    <n v="-160.21877919651101"/>
  </r>
  <r>
    <x v="438"/>
    <x v="438"/>
    <x v="354"/>
    <x v="2"/>
    <x v="0"/>
    <x v="3"/>
    <x v="3"/>
    <x v="7"/>
    <n v="53.37"/>
    <x v="0"/>
    <n v="426.96"/>
    <n v="64.043999999999997"/>
    <n v="362.916"/>
    <n v="66.08"/>
    <n v="528.64"/>
    <n v="-165.72399999999999"/>
    <n v="-45.664561496324197"/>
  </r>
  <r>
    <x v="439"/>
    <x v="439"/>
    <x v="355"/>
    <x v="0"/>
    <x v="1"/>
    <x v="1"/>
    <x v="5"/>
    <x v="1"/>
    <n v="136.07"/>
    <x v="0"/>
    <n v="680.349999999999"/>
    <n v="102.052499999999"/>
    <n v="578.29749999999899"/>
    <n v="114.96"/>
    <n v="574.79999999999995"/>
    <n v="3.4974999999999401"/>
    <n v="0.60479251596279504"/>
  </r>
  <r>
    <x v="440"/>
    <x v="440"/>
    <x v="356"/>
    <x v="1"/>
    <x v="1"/>
    <x v="0"/>
    <x v="3"/>
    <x v="1"/>
    <n v="188.95"/>
    <x v="1"/>
    <n v="944.75"/>
    <n v="188.95"/>
    <n v="755.8"/>
    <n v="146.16"/>
    <n v="730.8"/>
    <n v="25"/>
    <n v="3.3077533739084402"/>
  </r>
  <r>
    <x v="441"/>
    <x v="441"/>
    <x v="120"/>
    <x v="3"/>
    <x v="0"/>
    <x v="2"/>
    <x v="6"/>
    <x v="4"/>
    <n v="248.42"/>
    <x v="1"/>
    <n v="2235.7799999999902"/>
    <n v="447.15599999999898"/>
    <n v="1788.62399999999"/>
    <n v="82.4"/>
    <n v="741.6"/>
    <n v="1047.0239999999999"/>
    <n v="58.5379599066097"/>
  </r>
  <r>
    <x v="442"/>
    <x v="442"/>
    <x v="357"/>
    <x v="0"/>
    <x v="1"/>
    <x v="3"/>
    <x v="3"/>
    <x v="3"/>
    <n v="178.41"/>
    <x v="2"/>
    <n v="713.64"/>
    <n v="0"/>
    <n v="713.64"/>
    <n v="111.08"/>
    <n v="444.32"/>
    <n v="269.32"/>
    <n v="37.738915980045903"/>
  </r>
  <r>
    <x v="443"/>
    <x v="443"/>
    <x v="358"/>
    <x v="0"/>
    <x v="0"/>
    <x v="1"/>
    <x v="2"/>
    <x v="5"/>
    <n v="44.56"/>
    <x v="2"/>
    <n v="133.68"/>
    <n v="0"/>
    <n v="133.68"/>
    <n v="75.88"/>
    <n v="227.64"/>
    <n v="-93.959999999999894"/>
    <n v="-70.287253141831201"/>
  </r>
  <r>
    <x v="444"/>
    <x v="444"/>
    <x v="359"/>
    <x v="2"/>
    <x v="1"/>
    <x v="3"/>
    <x v="6"/>
    <x v="2"/>
    <n v="157.41"/>
    <x v="3"/>
    <n v="157.41"/>
    <n v="15.741"/>
    <n v="141.66899999999899"/>
    <n v="60.48"/>
    <n v="60.48"/>
    <n v="81.188999999999993"/>
    <n v="57.3089384410139"/>
  </r>
  <r>
    <x v="445"/>
    <x v="445"/>
    <x v="193"/>
    <x v="1"/>
    <x v="1"/>
    <x v="0"/>
    <x v="1"/>
    <x v="2"/>
    <n v="55.89"/>
    <x v="0"/>
    <n v="55.89"/>
    <n v="8.3834999999999997"/>
    <n v="47.506500000000003"/>
    <n v="34.49"/>
    <n v="34.49"/>
    <n v="13.016500000000001"/>
    <n v="27.399408501994401"/>
  </r>
  <r>
    <x v="446"/>
    <x v="446"/>
    <x v="360"/>
    <x v="3"/>
    <x v="1"/>
    <x v="0"/>
    <x v="2"/>
    <x v="6"/>
    <n v="90.17"/>
    <x v="3"/>
    <n v="541.02"/>
    <n v="54.101999999999997"/>
    <n v="486.91800000000001"/>
    <n v="18.22"/>
    <n v="109.32"/>
    <n v="377.59800000000001"/>
    <n v="77.548581075252898"/>
  </r>
  <r>
    <x v="447"/>
    <x v="447"/>
    <x v="361"/>
    <x v="0"/>
    <x v="0"/>
    <x v="2"/>
    <x v="4"/>
    <x v="2"/>
    <n v="163.62"/>
    <x v="2"/>
    <n v="163.62"/>
    <n v="0"/>
    <n v="163.62"/>
    <n v="52.05"/>
    <n v="52.05"/>
    <n v="111.57"/>
    <n v="68.188485515218105"/>
  </r>
  <r>
    <x v="448"/>
    <x v="448"/>
    <x v="362"/>
    <x v="1"/>
    <x v="1"/>
    <x v="2"/>
    <x v="0"/>
    <x v="5"/>
    <n v="208.83"/>
    <x v="1"/>
    <n v="626.49"/>
    <n v="125.298"/>
    <n v="501.19200000000001"/>
    <n v="56.43"/>
    <n v="169.29"/>
    <n v="331.90199999999999"/>
    <n v="66.222525499209894"/>
  </r>
  <r>
    <x v="449"/>
    <x v="449"/>
    <x v="363"/>
    <x v="2"/>
    <x v="1"/>
    <x v="2"/>
    <x v="0"/>
    <x v="7"/>
    <n v="95.73"/>
    <x v="4"/>
    <n v="765.84"/>
    <n v="38.292000000000002"/>
    <n v="727.548"/>
    <n v="87.65"/>
    <n v="701.2"/>
    <n v="26.3479999999999"/>
    <n v="3.6214792700962599"/>
  </r>
  <r>
    <x v="450"/>
    <x v="450"/>
    <x v="364"/>
    <x v="3"/>
    <x v="0"/>
    <x v="1"/>
    <x v="3"/>
    <x v="1"/>
    <n v="64.489999999999995"/>
    <x v="3"/>
    <n v="322.45"/>
    <n v="32.244999999999997"/>
    <n v="290.20499999999998"/>
    <n v="102.23"/>
    <n v="511.15"/>
    <n v="-220.94499999999999"/>
    <n v="-76.134112093175503"/>
  </r>
  <r>
    <x v="451"/>
    <x v="451"/>
    <x v="365"/>
    <x v="3"/>
    <x v="0"/>
    <x v="2"/>
    <x v="1"/>
    <x v="6"/>
    <n v="36.11"/>
    <x v="0"/>
    <n v="216.66"/>
    <n v="32.498999999999903"/>
    <n v="184.161"/>
    <n v="108.06"/>
    <n v="648.36"/>
    <n v="-464.19900000000001"/>
    <n v="-252.06151139491999"/>
  </r>
  <r>
    <x v="452"/>
    <x v="452"/>
    <x v="366"/>
    <x v="1"/>
    <x v="0"/>
    <x v="2"/>
    <x v="5"/>
    <x v="7"/>
    <n v="146.4"/>
    <x v="4"/>
    <n v="1171.2"/>
    <n v="58.56"/>
    <n v="1112.6400000000001"/>
    <n v="116.53"/>
    <n v="932.24"/>
    <n v="180.4"/>
    <n v="16.213689962611401"/>
  </r>
  <r>
    <x v="453"/>
    <x v="453"/>
    <x v="367"/>
    <x v="2"/>
    <x v="1"/>
    <x v="1"/>
    <x v="0"/>
    <x v="4"/>
    <n v="242"/>
    <x v="3"/>
    <n v="2178"/>
    <n v="217.8"/>
    <n v="1960.2"/>
    <n v="87.98"/>
    <n v="791.82"/>
    <n v="1168.3800000000001"/>
    <n v="59.605142332414999"/>
  </r>
  <r>
    <x v="454"/>
    <x v="454"/>
    <x v="127"/>
    <x v="0"/>
    <x v="1"/>
    <x v="2"/>
    <x v="0"/>
    <x v="3"/>
    <n v="140.34"/>
    <x v="3"/>
    <n v="561.36"/>
    <n v="56.136000000000003"/>
    <n v="505.22399999999999"/>
    <n v="79.260000000000005"/>
    <n v="317.04000000000002"/>
    <n v="188.183999999999"/>
    <n v="37.247636691843603"/>
  </r>
  <r>
    <x v="455"/>
    <x v="455"/>
    <x v="368"/>
    <x v="3"/>
    <x v="1"/>
    <x v="3"/>
    <x v="3"/>
    <x v="5"/>
    <n v="17.73"/>
    <x v="1"/>
    <n v="53.19"/>
    <n v="10.638"/>
    <n v="42.552"/>
    <n v="93.7"/>
    <n v="281.10000000000002"/>
    <n v="-238.548"/>
    <n v="-560.60349689791303"/>
  </r>
  <r>
    <x v="456"/>
    <x v="456"/>
    <x v="369"/>
    <x v="2"/>
    <x v="0"/>
    <x v="3"/>
    <x v="6"/>
    <x v="8"/>
    <n v="83.99"/>
    <x v="1"/>
    <n v="587.92999999999995"/>
    <n v="117.586"/>
    <n v="470.34399999999903"/>
    <n v="106.87"/>
    <n v="748.09"/>
    <n v="-277.74599999999998"/>
    <n v="-59.0516728181926"/>
  </r>
  <r>
    <x v="457"/>
    <x v="457"/>
    <x v="370"/>
    <x v="1"/>
    <x v="1"/>
    <x v="1"/>
    <x v="4"/>
    <x v="5"/>
    <n v="182.49"/>
    <x v="0"/>
    <n v="547.47"/>
    <n v="82.120500000000007"/>
    <n v="465.34949999999998"/>
    <n v="127.61"/>
    <n v="382.83"/>
    <n v="82.519499999999994"/>
    <n v="17.732800830343599"/>
  </r>
  <r>
    <x v="458"/>
    <x v="458"/>
    <x v="350"/>
    <x v="0"/>
    <x v="0"/>
    <x v="0"/>
    <x v="4"/>
    <x v="2"/>
    <n v="237.1"/>
    <x v="3"/>
    <n v="237.1"/>
    <n v="23.71"/>
    <n v="213.39"/>
    <n v="41.52"/>
    <n v="41.52"/>
    <n v="171.86999999999901"/>
    <n v="80.542668353718497"/>
  </r>
  <r>
    <x v="459"/>
    <x v="459"/>
    <x v="371"/>
    <x v="0"/>
    <x v="0"/>
    <x v="3"/>
    <x v="6"/>
    <x v="0"/>
    <n v="45.21"/>
    <x v="0"/>
    <n v="90.42"/>
    <n v="13.563000000000001"/>
    <n v="76.856999999999999"/>
    <n v="129.56"/>
    <n v="259.12"/>
    <n v="-182.26300000000001"/>
    <n v="-237.14560807733801"/>
  </r>
  <r>
    <x v="460"/>
    <x v="460"/>
    <x v="159"/>
    <x v="0"/>
    <x v="1"/>
    <x v="0"/>
    <x v="2"/>
    <x v="5"/>
    <n v="216.93"/>
    <x v="1"/>
    <n v="650.79"/>
    <n v="130.15799999999999"/>
    <n v="520.63199999999995"/>
    <n v="33.71"/>
    <n v="101.13"/>
    <n v="419.50199999999899"/>
    <n v="80.575531277370501"/>
  </r>
  <r>
    <x v="461"/>
    <x v="461"/>
    <x v="303"/>
    <x v="1"/>
    <x v="0"/>
    <x v="3"/>
    <x v="0"/>
    <x v="3"/>
    <n v="196.4"/>
    <x v="1"/>
    <n v="785.6"/>
    <n v="157.12"/>
    <n v="628.48"/>
    <n v="7.52"/>
    <n v="30.08"/>
    <n v="598.4"/>
    <n v="95.213849287168998"/>
  </r>
  <r>
    <x v="462"/>
    <x v="462"/>
    <x v="372"/>
    <x v="1"/>
    <x v="0"/>
    <x v="0"/>
    <x v="3"/>
    <x v="3"/>
    <n v="112.65"/>
    <x v="1"/>
    <n v="450.6"/>
    <n v="90.12"/>
    <n v="360.48"/>
    <n v="120.52"/>
    <n v="482.08"/>
    <n v="-121.599999999999"/>
    <n v="-33.732800710164199"/>
  </r>
  <r>
    <x v="463"/>
    <x v="463"/>
    <x v="373"/>
    <x v="0"/>
    <x v="1"/>
    <x v="0"/>
    <x v="4"/>
    <x v="2"/>
    <n v="234.67"/>
    <x v="0"/>
    <n v="234.67"/>
    <n v="35.200499999999998"/>
    <n v="199.46949999999899"/>
    <n v="38.46"/>
    <n v="38.46"/>
    <n v="161.00949999999901"/>
    <n v="80.7188567675759"/>
  </r>
  <r>
    <x v="464"/>
    <x v="464"/>
    <x v="139"/>
    <x v="1"/>
    <x v="0"/>
    <x v="2"/>
    <x v="3"/>
    <x v="7"/>
    <n v="137.75"/>
    <x v="2"/>
    <n v="1102"/>
    <n v="0"/>
    <n v="1102"/>
    <n v="126.59"/>
    <n v="1012.72"/>
    <n v="89.279999999999902"/>
    <n v="8.1016333938293901"/>
  </r>
  <r>
    <x v="465"/>
    <x v="465"/>
    <x v="157"/>
    <x v="3"/>
    <x v="1"/>
    <x v="1"/>
    <x v="1"/>
    <x v="2"/>
    <n v="91.89"/>
    <x v="4"/>
    <n v="91.89"/>
    <n v="4.5945"/>
    <n v="87.295500000000004"/>
    <n v="56.73"/>
    <n v="56.73"/>
    <n v="30.5655"/>
    <n v="35.013832328126803"/>
  </r>
  <r>
    <x v="466"/>
    <x v="466"/>
    <x v="374"/>
    <x v="1"/>
    <x v="1"/>
    <x v="2"/>
    <x v="5"/>
    <x v="8"/>
    <n v="110.62"/>
    <x v="4"/>
    <n v="774.34"/>
    <n v="38.716999999999999"/>
    <n v="735.62300000000005"/>
    <n v="56.16"/>
    <n v="393.12"/>
    <n v="342.50299999999999"/>
    <n v="46.5595828297918"/>
  </r>
  <r>
    <x v="467"/>
    <x v="467"/>
    <x v="375"/>
    <x v="2"/>
    <x v="1"/>
    <x v="3"/>
    <x v="4"/>
    <x v="7"/>
    <n v="68.64"/>
    <x v="2"/>
    <n v="549.12"/>
    <n v="0"/>
    <n v="549.12"/>
    <n v="131.11000000000001"/>
    <n v="1048.8800000000001"/>
    <n v="-499.76"/>
    <n v="-91.011072261072201"/>
  </r>
  <r>
    <x v="468"/>
    <x v="468"/>
    <x v="376"/>
    <x v="2"/>
    <x v="0"/>
    <x v="2"/>
    <x v="4"/>
    <x v="5"/>
    <n v="112.24"/>
    <x v="4"/>
    <n v="336.719999999999"/>
    <n v="16.835999999999999"/>
    <n v="319.88399999999899"/>
    <n v="115.04"/>
    <n v="345.12"/>
    <n v="-25.236000000000001"/>
    <n v="-7.8891098023033503"/>
  </r>
  <r>
    <x v="469"/>
    <x v="469"/>
    <x v="348"/>
    <x v="0"/>
    <x v="0"/>
    <x v="3"/>
    <x v="6"/>
    <x v="6"/>
    <n v="164.52"/>
    <x v="3"/>
    <n v="987.12"/>
    <n v="98.712000000000003"/>
    <n v="888.40800000000002"/>
    <n v="13.46"/>
    <n v="80.760000000000005"/>
    <n v="807.64800000000002"/>
    <n v="90.909582083907395"/>
  </r>
  <r>
    <x v="470"/>
    <x v="470"/>
    <x v="12"/>
    <x v="3"/>
    <x v="0"/>
    <x v="1"/>
    <x v="5"/>
    <x v="7"/>
    <n v="100.55"/>
    <x v="0"/>
    <n v="804.4"/>
    <n v="120.66"/>
    <n v="683.74"/>
    <n v="141.91999999999999"/>
    <n v="1135.3599999999999"/>
    <n v="-451.61999999999898"/>
    <n v="-66.051423055547403"/>
  </r>
  <r>
    <x v="471"/>
    <x v="471"/>
    <x v="377"/>
    <x v="1"/>
    <x v="1"/>
    <x v="2"/>
    <x v="3"/>
    <x v="1"/>
    <n v="41.72"/>
    <x v="3"/>
    <n v="208.6"/>
    <n v="20.86"/>
    <n v="187.74"/>
    <n v="35.21"/>
    <n v="176.05"/>
    <n v="11.6899999999999"/>
    <n v="6.2266964951528596"/>
  </r>
  <r>
    <x v="472"/>
    <x v="472"/>
    <x v="36"/>
    <x v="3"/>
    <x v="1"/>
    <x v="1"/>
    <x v="3"/>
    <x v="1"/>
    <n v="231.01"/>
    <x v="4"/>
    <n v="1155.05"/>
    <n v="57.752499999999998"/>
    <n v="1097.2974999999999"/>
    <n v="101.65"/>
    <n v="508.25"/>
    <n v="589.04749999999899"/>
    <n v="53.681658802649203"/>
  </r>
  <r>
    <x v="473"/>
    <x v="473"/>
    <x v="378"/>
    <x v="0"/>
    <x v="1"/>
    <x v="0"/>
    <x v="4"/>
    <x v="0"/>
    <n v="184.33"/>
    <x v="1"/>
    <n v="368.66"/>
    <n v="73.731999999999999"/>
    <n v="294.928"/>
    <n v="141.38"/>
    <n v="282.76"/>
    <n v="12.167999999999999"/>
    <n v="4.1257527260890798"/>
  </r>
  <r>
    <x v="474"/>
    <x v="474"/>
    <x v="379"/>
    <x v="1"/>
    <x v="1"/>
    <x v="2"/>
    <x v="4"/>
    <x v="6"/>
    <n v="52.43"/>
    <x v="4"/>
    <n v="314.58"/>
    <n v="15.728999999999999"/>
    <n v="298.851"/>
    <n v="127.14"/>
    <n v="762.84"/>
    <n v="-463.98899999999998"/>
    <n v="-155.25763674874699"/>
  </r>
  <r>
    <x v="475"/>
    <x v="475"/>
    <x v="380"/>
    <x v="2"/>
    <x v="0"/>
    <x v="3"/>
    <x v="3"/>
    <x v="4"/>
    <n v="208.37"/>
    <x v="3"/>
    <n v="1875.33"/>
    <n v="187.53299999999999"/>
    <n v="1687.797"/>
    <n v="75.8"/>
    <n v="682.19999999999902"/>
    <n v="1005.597"/>
    <n v="59.580447174630599"/>
  </r>
  <r>
    <x v="476"/>
    <x v="476"/>
    <x v="53"/>
    <x v="3"/>
    <x v="0"/>
    <x v="3"/>
    <x v="0"/>
    <x v="1"/>
    <n v="238.13"/>
    <x v="1"/>
    <n v="1190.6500000000001"/>
    <n v="238.13"/>
    <n v="952.52"/>
    <n v="142.33000000000001"/>
    <n v="711.65"/>
    <n v="240.87"/>
    <n v="25.2876580019317"/>
  </r>
  <r>
    <x v="477"/>
    <x v="477"/>
    <x v="381"/>
    <x v="1"/>
    <x v="0"/>
    <x v="3"/>
    <x v="4"/>
    <x v="5"/>
    <n v="77.52"/>
    <x v="0"/>
    <n v="232.56"/>
    <n v="34.884"/>
    <n v="197.67599999999999"/>
    <n v="104.43"/>
    <n v="313.29000000000002"/>
    <n v="-115.614"/>
    <n v="-58.4866144600255"/>
  </r>
  <r>
    <x v="478"/>
    <x v="478"/>
    <x v="382"/>
    <x v="3"/>
    <x v="0"/>
    <x v="0"/>
    <x v="3"/>
    <x v="8"/>
    <n v="139.22"/>
    <x v="3"/>
    <n v="974.54"/>
    <n v="97.453999999999994"/>
    <n v="877.08600000000001"/>
    <n v="41.24"/>
    <n v="288.68"/>
    <n v="588.40599999999995"/>
    <n v="67.086465865376894"/>
  </r>
  <r>
    <x v="479"/>
    <x v="479"/>
    <x v="16"/>
    <x v="3"/>
    <x v="1"/>
    <x v="1"/>
    <x v="0"/>
    <x v="1"/>
    <n v="234.03"/>
    <x v="3"/>
    <n v="1170.1500000000001"/>
    <n v="117.015"/>
    <n v="1053.135"/>
    <n v="144.82"/>
    <n v="724.099999999999"/>
    <n v="329.03500000000003"/>
    <n v="31.243382852150901"/>
  </r>
  <r>
    <x v="480"/>
    <x v="480"/>
    <x v="383"/>
    <x v="0"/>
    <x v="1"/>
    <x v="3"/>
    <x v="6"/>
    <x v="4"/>
    <n v="89.93"/>
    <x v="0"/>
    <n v="809.37"/>
    <n v="121.4055"/>
    <n v="687.96450000000004"/>
    <n v="87.25"/>
    <n v="785.25"/>
    <n v="-97.2854999999999"/>
    <n v="-14.141063964782999"/>
  </r>
  <r>
    <x v="481"/>
    <x v="481"/>
    <x v="384"/>
    <x v="0"/>
    <x v="0"/>
    <x v="0"/>
    <x v="5"/>
    <x v="6"/>
    <n v="97.2"/>
    <x v="4"/>
    <n v="583.20000000000005"/>
    <n v="29.16"/>
    <n v="554.04"/>
    <n v="51.74"/>
    <n v="310.44"/>
    <n v="243.6"/>
    <n v="43.967944552739802"/>
  </r>
  <r>
    <x v="482"/>
    <x v="482"/>
    <x v="385"/>
    <x v="0"/>
    <x v="0"/>
    <x v="2"/>
    <x v="0"/>
    <x v="1"/>
    <n v="54.43"/>
    <x v="0"/>
    <n v="272.14999999999998"/>
    <n v="40.822499999999998"/>
    <n v="231.32749999999999"/>
    <n v="68.010000000000005"/>
    <n v="340.05"/>
    <n v="-108.7225"/>
    <n v="-46.999383990230299"/>
  </r>
  <r>
    <x v="483"/>
    <x v="483"/>
    <x v="386"/>
    <x v="0"/>
    <x v="1"/>
    <x v="3"/>
    <x v="3"/>
    <x v="2"/>
    <n v="120.33"/>
    <x v="4"/>
    <n v="120.33"/>
    <n v="6.0164999999999997"/>
    <n v="114.3135"/>
    <n v="33.130000000000003"/>
    <n v="33.130000000000003"/>
    <n v="81.183499999999995"/>
    <n v="71.018296176741998"/>
  </r>
  <r>
    <x v="484"/>
    <x v="484"/>
    <x v="386"/>
    <x v="1"/>
    <x v="0"/>
    <x v="0"/>
    <x v="2"/>
    <x v="7"/>
    <n v="226.79"/>
    <x v="1"/>
    <n v="1814.32"/>
    <n v="362.86399999999998"/>
    <n v="1451.4559999999999"/>
    <n v="88.16"/>
    <n v="705.28"/>
    <n v="746.17599999999902"/>
    <n v="51.408792274791601"/>
  </r>
  <r>
    <x v="485"/>
    <x v="485"/>
    <x v="387"/>
    <x v="3"/>
    <x v="1"/>
    <x v="1"/>
    <x v="6"/>
    <x v="6"/>
    <n v="241.95"/>
    <x v="2"/>
    <n v="1451.69999999999"/>
    <n v="0"/>
    <n v="1451.69999999999"/>
    <n v="87.17"/>
    <n v="523.02"/>
    <n v="928.67999999999904"/>
    <n v="63.9718950196321"/>
  </r>
  <r>
    <x v="486"/>
    <x v="486"/>
    <x v="388"/>
    <x v="3"/>
    <x v="1"/>
    <x v="2"/>
    <x v="4"/>
    <x v="3"/>
    <n v="48.13"/>
    <x v="2"/>
    <n v="192.52"/>
    <n v="0"/>
    <n v="192.52"/>
    <n v="28.15"/>
    <n v="112.6"/>
    <n v="79.92"/>
    <n v="41.512570122584599"/>
  </r>
  <r>
    <x v="487"/>
    <x v="487"/>
    <x v="173"/>
    <x v="3"/>
    <x v="0"/>
    <x v="2"/>
    <x v="4"/>
    <x v="7"/>
    <n v="232.92"/>
    <x v="4"/>
    <n v="1863.36"/>
    <n v="93.168000000000006"/>
    <n v="1770.192"/>
    <n v="65.150000000000006"/>
    <n v="521.20000000000005"/>
    <n v="1248.992"/>
    <n v="70.556866147852801"/>
  </r>
  <r>
    <x v="488"/>
    <x v="488"/>
    <x v="287"/>
    <x v="2"/>
    <x v="1"/>
    <x v="3"/>
    <x v="3"/>
    <x v="7"/>
    <n v="57.01"/>
    <x v="0"/>
    <n v="456.08"/>
    <n v="68.411999999999907"/>
    <n v="387.66800000000001"/>
    <n v="43.61"/>
    <n v="348.88"/>
    <n v="38.787999999999997"/>
    <n v="10.005468596840499"/>
  </r>
  <r>
    <x v="489"/>
    <x v="489"/>
    <x v="389"/>
    <x v="2"/>
    <x v="1"/>
    <x v="1"/>
    <x v="1"/>
    <x v="6"/>
    <n v="220.77"/>
    <x v="2"/>
    <n v="1324.62"/>
    <n v="0"/>
    <n v="1324.62"/>
    <n v="134.86000000000001"/>
    <n v="809.16"/>
    <n v="515.46"/>
    <n v="38.913801694070699"/>
  </r>
  <r>
    <x v="490"/>
    <x v="490"/>
    <x v="124"/>
    <x v="3"/>
    <x v="0"/>
    <x v="3"/>
    <x v="0"/>
    <x v="6"/>
    <n v="200.99"/>
    <x v="1"/>
    <n v="1205.94"/>
    <n v="241.18799999999999"/>
    <n v="964.75199999999995"/>
    <n v="33.25"/>
    <n v="199.5"/>
    <n v="765.25199999999995"/>
    <n v="79.321110503010104"/>
  </r>
  <r>
    <x v="491"/>
    <x v="491"/>
    <x v="390"/>
    <x v="0"/>
    <x v="0"/>
    <x v="2"/>
    <x v="4"/>
    <x v="2"/>
    <n v="17.32"/>
    <x v="0"/>
    <n v="17.32"/>
    <n v="2.5979999999999999"/>
    <n v="14.722"/>
    <n v="93.21"/>
    <n v="93.21"/>
    <n v="-78.488"/>
    <n v="-533.134085042793"/>
  </r>
  <r>
    <x v="492"/>
    <x v="492"/>
    <x v="391"/>
    <x v="2"/>
    <x v="0"/>
    <x v="3"/>
    <x v="5"/>
    <x v="4"/>
    <n v="99.41"/>
    <x v="3"/>
    <n v="894.68999999999903"/>
    <n v="89.468999999999994"/>
    <n v="805.221"/>
    <n v="97.82"/>
    <n v="880.37999999999897"/>
    <n v="-75.158999999999807"/>
    <n v="-9.3339592484547502"/>
  </r>
  <r>
    <x v="493"/>
    <x v="493"/>
    <x v="392"/>
    <x v="3"/>
    <x v="1"/>
    <x v="2"/>
    <x v="0"/>
    <x v="2"/>
    <n v="79.66"/>
    <x v="4"/>
    <n v="79.66"/>
    <n v="3.9830000000000001"/>
    <n v="75.676999999999893"/>
    <n v="92.54"/>
    <n v="92.54"/>
    <n v="-16.863"/>
    <n v="-22.2828600499491"/>
  </r>
  <r>
    <x v="494"/>
    <x v="494"/>
    <x v="393"/>
    <x v="3"/>
    <x v="0"/>
    <x v="1"/>
    <x v="4"/>
    <x v="3"/>
    <n v="213.83"/>
    <x v="1"/>
    <n v="855.32"/>
    <n v="171.06399999999999"/>
    <n v="684.25599999999997"/>
    <n v="59.1"/>
    <n v="236.4"/>
    <n v="447.85599999999999"/>
    <n v="65.451526913903507"/>
  </r>
  <r>
    <x v="495"/>
    <x v="495"/>
    <x v="394"/>
    <x v="3"/>
    <x v="0"/>
    <x v="2"/>
    <x v="3"/>
    <x v="2"/>
    <n v="67.5"/>
    <x v="2"/>
    <n v="67.5"/>
    <n v="0"/>
    <n v="67.5"/>
    <n v="40.47"/>
    <n v="40.47"/>
    <n v="27.03"/>
    <n v="40.044444444444402"/>
  </r>
  <r>
    <x v="496"/>
    <x v="496"/>
    <x v="122"/>
    <x v="2"/>
    <x v="1"/>
    <x v="0"/>
    <x v="5"/>
    <x v="1"/>
    <n v="120.59"/>
    <x v="3"/>
    <n v="602.95000000000005"/>
    <n v="60.295000000000002"/>
    <n v="542.65499999999997"/>
    <n v="6.2"/>
    <n v="31"/>
    <n v="511.65499999999997"/>
    <n v="94.287346472436397"/>
  </r>
  <r>
    <x v="497"/>
    <x v="497"/>
    <x v="395"/>
    <x v="0"/>
    <x v="1"/>
    <x v="0"/>
    <x v="5"/>
    <x v="5"/>
    <n v="182.53"/>
    <x v="1"/>
    <n v="547.59"/>
    <n v="109.518"/>
    <n v="438.072"/>
    <n v="34.68"/>
    <n v="104.039999999999"/>
    <n v="334.03199999999998"/>
    <n v="76.250479373253697"/>
  </r>
  <r>
    <x v="498"/>
    <x v="498"/>
    <x v="396"/>
    <x v="3"/>
    <x v="0"/>
    <x v="0"/>
    <x v="1"/>
    <x v="2"/>
    <n v="249.83"/>
    <x v="0"/>
    <n v="249.83"/>
    <n v="37.474499999999999"/>
    <n v="212.35550000000001"/>
    <n v="123.04"/>
    <n v="123.04"/>
    <n v="89.3155"/>
    <n v="42.059423937689303"/>
  </r>
  <r>
    <x v="499"/>
    <x v="499"/>
    <x v="397"/>
    <x v="3"/>
    <x v="0"/>
    <x v="1"/>
    <x v="2"/>
    <x v="8"/>
    <n v="97.16"/>
    <x v="1"/>
    <n v="680.12"/>
    <n v="136.024"/>
    <n v="544.096"/>
    <n v="45.31"/>
    <n v="317.17"/>
    <n v="226.92599999999999"/>
    <n v="41.7069781803211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othing">
  <location ref="E9:H14" firstHeaderRow="0"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Row" showAll="0" sortType="descending">
      <items count="5">
        <item x="1"/>
        <item x="2"/>
        <item x="3"/>
        <item x="0"/>
        <item t="default"/>
      </items>
      <autoSortScope>
        <pivotArea dataOnly="0" outline="0" fieldPosition="0">
          <references count="1">
            <reference field="4294967294" count="1" selected="0">
              <x v="2"/>
            </reference>
          </references>
        </pivotArea>
      </autoSortScope>
    </pivotField>
    <pivotField showAll="0">
      <items count="8">
        <item x="6"/>
        <item x="2"/>
        <item x="0"/>
        <item x="5"/>
        <item x="3"/>
        <item x="4"/>
        <item x="1"/>
        <item t="default"/>
      </items>
    </pivotField>
    <pivotField showAll="0">
      <items count="10">
        <item x="2"/>
        <item x="0"/>
        <item x="5"/>
        <item x="3"/>
        <item x="1"/>
        <item x="6"/>
        <item x="8"/>
        <item x="7"/>
        <item x="4"/>
        <item t="default"/>
      </items>
    </pivotField>
    <pivotField showAll="0"/>
    <pivotField showAll="0"/>
    <pivotField showAll="0"/>
    <pivotField showAll="0"/>
    <pivotField dataField="1"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5">
    <i>
      <x v="3"/>
    </i>
    <i>
      <x/>
    </i>
    <i>
      <x v="1"/>
    </i>
    <i>
      <x v="2"/>
    </i>
    <i t="grand">
      <x/>
    </i>
  </rowItems>
  <colFields count="1">
    <field x="-2"/>
  </colFields>
  <colItems count="3">
    <i>
      <x/>
    </i>
    <i i="1">
      <x v="1"/>
    </i>
    <i i="2">
      <x v="2"/>
    </i>
  </colItems>
  <dataFields count="3">
    <dataField name="Sum of Net_Revenue" fld="12" baseField="0" baseItem="0"/>
    <dataField name="Sum of Profit" fld="15" baseField="0" baseItem="0"/>
    <dataField name="Average of Profit_Margin_Pct"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lothing">
  <location ref="J2:L22" firstHeaderRow="0"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2"/>
        <item x="1"/>
        <item x="3"/>
        <item x="0"/>
        <item t="default"/>
      </items>
    </pivotField>
    <pivotField showAll="0">
      <items count="3">
        <item x="0"/>
        <item x="1"/>
        <item t="default"/>
      </items>
    </pivotField>
    <pivotField showAll="0">
      <items count="5">
        <item x="1"/>
        <item x="2"/>
        <item x="3"/>
        <item x="0"/>
        <item t="default"/>
      </items>
    </pivotField>
    <pivotField showAll="0">
      <items count="8">
        <item x="6"/>
        <item x="2"/>
        <item x="0"/>
        <item x="5"/>
        <item x="3"/>
        <item x="4"/>
        <item x="1"/>
        <item t="default"/>
      </items>
    </pivotField>
    <pivotField showAll="0">
      <items count="10">
        <item x="2"/>
        <item x="0"/>
        <item x="5"/>
        <item x="3"/>
        <item x="1"/>
        <item x="6"/>
        <item x="8"/>
        <item x="7"/>
        <item x="4"/>
        <item t="default"/>
      </items>
    </pivotField>
    <pivotField showAll="0"/>
    <pivotField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items count="5">
        <item x="0"/>
        <item x="1"/>
        <item x="2"/>
        <item x="3"/>
        <item t="default"/>
      </items>
    </pivotField>
  </pivotFields>
  <rowFields count="2">
    <field x="18"/>
    <field x="17"/>
  </rowFields>
  <rowItems count="20">
    <i>
      <x v="1"/>
    </i>
    <i r="1">
      <x v="10"/>
    </i>
    <i r="1">
      <x v="7"/>
    </i>
    <i r="1">
      <x v="5"/>
    </i>
    <i r="1">
      <x v="8"/>
    </i>
    <i r="1">
      <x v="2"/>
    </i>
    <i r="1">
      <x v="9"/>
    </i>
    <i r="1">
      <x v="3"/>
    </i>
    <i r="1">
      <x v="4"/>
    </i>
    <i r="1">
      <x v="6"/>
    </i>
    <i r="1">
      <x v="11"/>
    </i>
    <i r="1">
      <x v="12"/>
    </i>
    <i r="1">
      <x v="1"/>
    </i>
    <i>
      <x v="2"/>
    </i>
    <i r="1">
      <x v="1"/>
    </i>
    <i r="1">
      <x v="2"/>
    </i>
    <i r="1">
      <x v="5"/>
    </i>
    <i r="1">
      <x v="4"/>
    </i>
    <i r="1">
      <x v="3"/>
    </i>
    <i t="grand">
      <x/>
    </i>
  </rowItems>
  <colFields count="1">
    <field x="-2"/>
  </colFields>
  <colItems count="2">
    <i>
      <x/>
    </i>
    <i i="1">
      <x v="1"/>
    </i>
  </colItems>
  <dataFields count="2">
    <dataField name="Sum of Profit" fld="15" baseField="6" baseItem="0"/>
    <dataField name="Sum of Net_Revenue" fld="12" baseField="6" baseItem="0"/>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0"/>
          </reference>
          <reference field="17" count="1" selected="0">
            <x v="1"/>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1" firstHeaderRow="1"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2"/>
        <item x="1"/>
        <item x="3"/>
        <item x="0"/>
        <item t="default"/>
      </items>
    </pivotField>
    <pivotField showAll="0">
      <items count="3">
        <item x="0"/>
        <item x="1"/>
        <item t="default"/>
      </items>
    </pivotField>
    <pivotField showAll="0"/>
    <pivotField axis="axisRow" showAll="0" measureFilter="1" sortType="descending">
      <items count="8">
        <item x="6"/>
        <item x="2"/>
        <item x="0"/>
        <item x="5"/>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4">
    <i>
      <x v="4"/>
    </i>
    <i>
      <x v="2"/>
    </i>
    <i>
      <x v="5"/>
    </i>
    <i t="grand">
      <x/>
    </i>
  </rowItems>
  <colItems count="1">
    <i/>
  </colItems>
  <dataFields count="1">
    <dataField name="Sum of Net_Revenue" fld="12" baseField="0" baseItem="0"/>
  </dataField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othing">
  <location ref="E21:G27" firstHeaderRow="0"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2"/>
        <item x="1"/>
        <item x="3"/>
        <item x="0"/>
        <item t="default"/>
      </items>
    </pivotField>
    <pivotField showAll="0">
      <items count="3">
        <item x="0"/>
        <item x="1"/>
        <item t="default"/>
      </items>
    </pivotField>
    <pivotField showAll="0">
      <items count="5">
        <item x="1"/>
        <item x="2"/>
        <item x="3"/>
        <item x="0"/>
        <item t="default"/>
      </items>
    </pivotField>
    <pivotField showAll="0">
      <items count="8">
        <item x="6"/>
        <item x="2"/>
        <item x="0"/>
        <item x="5"/>
        <item x="3"/>
        <item x="4"/>
        <item x="1"/>
        <item t="default"/>
      </items>
    </pivotField>
    <pivotField showAll="0">
      <items count="10">
        <item x="2"/>
        <item x="0"/>
        <item x="5"/>
        <item x="3"/>
        <item x="1"/>
        <item x="6"/>
        <item x="8"/>
        <item x="7"/>
        <item x="4"/>
        <item t="default"/>
      </items>
    </pivotField>
    <pivotField showAll="0"/>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6">
    <i>
      <x/>
    </i>
    <i>
      <x v="2"/>
    </i>
    <i>
      <x v="1"/>
    </i>
    <i>
      <x v="4"/>
    </i>
    <i>
      <x v="3"/>
    </i>
    <i t="grand">
      <x/>
    </i>
  </rowItems>
  <colFields count="1">
    <field x="-2"/>
  </colFields>
  <colItems count="2">
    <i>
      <x/>
    </i>
    <i i="1">
      <x v="1"/>
    </i>
  </colItems>
  <dataFields count="2">
    <dataField name="Average of Profit" fld="15" subtotal="average" baseField="9" baseItem="0"/>
    <dataField name="Average of Net_Revenue" fld="12"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D62141-2875-4AFD-8AA4-DBEA681DFF47}"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Clothing">
  <location ref="J24:L31" firstHeaderRow="0"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2"/>
        <item x="1"/>
        <item x="3"/>
        <item x="0"/>
        <item t="default"/>
      </items>
    </pivotField>
    <pivotField showAll="0">
      <items count="3">
        <item x="0"/>
        <item x="1"/>
        <item t="default"/>
      </items>
    </pivotField>
    <pivotField showAll="0">
      <items count="5">
        <item x="1"/>
        <item x="2"/>
        <item x="3"/>
        <item x="0"/>
        <item t="default"/>
      </items>
    </pivotField>
    <pivotField axis="axisRow" showAll="0">
      <items count="8">
        <item x="6"/>
        <item x="2"/>
        <item x="0"/>
        <item x="5"/>
        <item x="3"/>
        <item x="4"/>
        <item x="1"/>
        <item t="default"/>
      </items>
    </pivotField>
    <pivotField showAll="0">
      <items count="10">
        <item x="2"/>
        <item x="0"/>
        <item x="5"/>
        <item x="3"/>
        <item x="1"/>
        <item x="6"/>
        <item x="8"/>
        <item x="7"/>
        <item x="4"/>
        <item t="default"/>
      </items>
    </pivotField>
    <pivotField showAll="0"/>
    <pivotField showAll="0">
      <items count="6">
        <item x="2"/>
        <item x="4"/>
        <item x="3"/>
        <item x="0"/>
        <item x="1"/>
        <item t="default"/>
      </items>
    </pivotField>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7">
    <i>
      <x/>
    </i>
    <i>
      <x v="1"/>
    </i>
    <i>
      <x v="2"/>
    </i>
    <i>
      <x v="3"/>
    </i>
    <i>
      <x v="4"/>
    </i>
    <i>
      <x v="5"/>
    </i>
    <i>
      <x v="6"/>
    </i>
  </rowItems>
  <colFields count="1">
    <field x="-2"/>
  </colFields>
  <colItems count="2">
    <i>
      <x/>
    </i>
    <i i="1">
      <x v="1"/>
    </i>
  </colItems>
  <dataFields count="2">
    <dataField name="Sum of Net_Revenue" fld="12" baseField="0" baseItem="0"/>
    <dataField name="Sum of Profit" fld="15" baseField="0" baseItem="0"/>
  </dataFields>
  <chartFormats count="5">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othing">
  <location ref="E16:H19" firstHeaderRow="0"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axis="axisRow" showAll="0" sortType="descending">
      <items count="3">
        <item x="0"/>
        <item x="1"/>
        <item t="default"/>
      </items>
      <autoSortScope>
        <pivotArea dataOnly="0" outline="0" fieldPosition="0">
          <references count="1">
            <reference field="4294967294" count="1" selected="0">
              <x v="2"/>
            </reference>
          </references>
        </pivotArea>
      </autoSortScope>
    </pivotField>
    <pivotField showAll="0">
      <items count="5">
        <item x="1"/>
        <item x="2"/>
        <item x="3"/>
        <item x="0"/>
        <item t="default"/>
      </items>
    </pivotField>
    <pivotField showAll="0">
      <items count="8">
        <item x="6"/>
        <item x="2"/>
        <item x="0"/>
        <item x="5"/>
        <item x="3"/>
        <item x="4"/>
        <item x="1"/>
        <item t="default"/>
      </items>
    </pivotField>
    <pivotField dataField="1" showAll="0">
      <items count="10">
        <item x="2"/>
        <item x="0"/>
        <item x="5"/>
        <item x="3"/>
        <item x="1"/>
        <item x="6"/>
        <item x="8"/>
        <item x="7"/>
        <item x="4"/>
        <item t="default"/>
      </items>
    </pivotField>
    <pivotField showAll="0"/>
    <pivotField showAll="0"/>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3">
    <i>
      <x v="1"/>
    </i>
    <i>
      <x/>
    </i>
    <i t="grand">
      <x/>
    </i>
  </rowItems>
  <colFields count="1">
    <field x="-2"/>
  </colFields>
  <colItems count="3">
    <i>
      <x/>
    </i>
    <i i="1">
      <x v="1"/>
    </i>
    <i i="2">
      <x v="2"/>
    </i>
  </colItems>
  <dataFields count="3">
    <dataField name="Sum of Net_Revenue" fld="12" baseField="0" baseItem="0"/>
    <dataField name="Sum of Profit" fld="15"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A22852-D96A-4216-A49D-97715A2746A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othing">
  <location ref="N15:N16" firstHeaderRow="1" firstDataRow="1" firstDataCol="0"/>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99">
        <item x="221"/>
        <item x="164"/>
        <item x="29"/>
        <item x="239"/>
        <item x="264"/>
        <item x="153"/>
        <item x="330"/>
        <item x="313"/>
        <item x="82"/>
        <item x="98"/>
        <item x="147"/>
        <item x="85"/>
        <item x="116"/>
        <item x="356"/>
        <item x="128"/>
        <item x="212"/>
        <item x="32"/>
        <item x="208"/>
        <item x="102"/>
        <item x="165"/>
        <item x="283"/>
        <item x="20"/>
        <item x="269"/>
        <item x="54"/>
        <item x="332"/>
        <item x="26"/>
        <item x="190"/>
        <item x="281"/>
        <item x="292"/>
        <item x="95"/>
        <item x="396"/>
        <item x="183"/>
        <item x="327"/>
        <item x="328"/>
        <item x="73"/>
        <item x="214"/>
        <item x="144"/>
        <item x="324"/>
        <item x="376"/>
        <item x="331"/>
        <item x="280"/>
        <item x="158"/>
        <item x="105"/>
        <item x="393"/>
        <item x="39"/>
        <item x="312"/>
        <item x="86"/>
        <item x="381"/>
        <item x="363"/>
        <item x="385"/>
        <item x="94"/>
        <item x="129"/>
        <item x="394"/>
        <item x="50"/>
        <item x="355"/>
        <item x="249"/>
        <item x="263"/>
        <item x="72"/>
        <item x="36"/>
        <item x="238"/>
        <item x="319"/>
        <item x="266"/>
        <item x="207"/>
        <item x="18"/>
        <item x="146"/>
        <item x="0"/>
        <item x="258"/>
        <item x="390"/>
        <item x="145"/>
        <item x="306"/>
        <item x="170"/>
        <item x="37"/>
        <item x="305"/>
        <item x="9"/>
        <item x="41"/>
        <item x="150"/>
        <item x="392"/>
        <item x="53"/>
        <item x="1"/>
        <item x="143"/>
        <item x="346"/>
        <item x="45"/>
        <item x="100"/>
        <item x="335"/>
        <item x="224"/>
        <item x="251"/>
        <item x="5"/>
        <item x="349"/>
        <item x="125"/>
        <item x="81"/>
        <item x="75"/>
        <item x="181"/>
        <item x="380"/>
        <item x="368"/>
        <item x="196"/>
        <item x="252"/>
        <item x="177"/>
        <item x="162"/>
        <item x="323"/>
        <item x="340"/>
        <item x="321"/>
        <item x="188"/>
        <item x="28"/>
        <item x="229"/>
        <item x="57"/>
        <item x="118"/>
        <item x="217"/>
        <item x="234"/>
        <item x="353"/>
        <item x="378"/>
        <item x="218"/>
        <item x="311"/>
        <item x="364"/>
        <item x="112"/>
        <item x="66"/>
        <item x="148"/>
        <item x="87"/>
        <item x="222"/>
        <item x="203"/>
        <item x="43"/>
        <item x="334"/>
        <item x="246"/>
        <item x="367"/>
        <item x="354"/>
        <item x="113"/>
        <item x="309"/>
        <item x="44"/>
        <item x="397"/>
        <item x="197"/>
        <item x="71"/>
        <item x="34"/>
        <item x="178"/>
        <item x="167"/>
        <item x="383"/>
        <item x="230"/>
        <item x="219"/>
        <item x="339"/>
        <item x="13"/>
        <item x="8"/>
        <item x="62"/>
        <item x="77"/>
        <item x="270"/>
        <item x="14"/>
        <item x="294"/>
        <item x="137"/>
        <item x="60"/>
        <item x="298"/>
        <item x="337"/>
        <item x="23"/>
        <item x="106"/>
        <item x="10"/>
        <item x="59"/>
        <item x="97"/>
        <item x="362"/>
        <item x="304"/>
        <item x="296"/>
        <item x="130"/>
        <item x="93"/>
        <item x="286"/>
        <item x="172"/>
        <item x="260"/>
        <item x="242"/>
        <item x="21"/>
        <item x="310"/>
        <item x="127"/>
        <item x="235"/>
        <item x="166"/>
        <item x="329"/>
        <item x="256"/>
        <item x="157"/>
        <item x="31"/>
        <item x="70"/>
        <item x="326"/>
        <item x="120"/>
        <item x="132"/>
        <item x="232"/>
        <item x="46"/>
        <item x="347"/>
        <item x="182"/>
        <item x="121"/>
        <item x="175"/>
        <item x="186"/>
        <item x="318"/>
        <item x="79"/>
        <item x="52"/>
        <item x="161"/>
        <item x="155"/>
        <item x="273"/>
        <item x="49"/>
        <item x="142"/>
        <item x="388"/>
        <item x="160"/>
        <item x="3"/>
        <item x="236"/>
        <item x="25"/>
        <item x="84"/>
        <item x="261"/>
        <item x="247"/>
        <item x="300"/>
        <item x="254"/>
        <item x="67"/>
        <item x="104"/>
        <item x="342"/>
        <item x="163"/>
        <item x="351"/>
        <item x="11"/>
        <item x="282"/>
        <item x="2"/>
        <item x="237"/>
        <item x="350"/>
        <item x="307"/>
        <item x="268"/>
        <item x="338"/>
        <item x="47"/>
        <item x="15"/>
        <item x="124"/>
        <item x="277"/>
        <item x="225"/>
        <item x="285"/>
        <item x="123"/>
        <item x="290"/>
        <item x="395"/>
        <item x="199"/>
        <item x="231"/>
        <item x="4"/>
        <item x="65"/>
        <item x="12"/>
        <item x="176"/>
        <item x="202"/>
        <item x="374"/>
        <item x="174"/>
        <item x="63"/>
        <item x="271"/>
        <item x="302"/>
        <item x="288"/>
        <item x="382"/>
        <item x="240"/>
        <item x="7"/>
        <item x="168"/>
        <item x="109"/>
        <item x="210"/>
        <item x="204"/>
        <item x="99"/>
        <item x="189"/>
        <item x="295"/>
        <item x="111"/>
        <item x="289"/>
        <item x="278"/>
        <item x="259"/>
        <item x="250"/>
        <item x="316"/>
        <item x="154"/>
        <item x="140"/>
        <item x="135"/>
        <item x="110"/>
        <item x="76"/>
        <item x="226"/>
        <item x="184"/>
        <item x="344"/>
        <item x="341"/>
        <item x="136"/>
        <item x="358"/>
        <item x="171"/>
        <item x="253"/>
        <item x="379"/>
        <item x="275"/>
        <item x="301"/>
        <item x="333"/>
        <item x="88"/>
        <item x="194"/>
        <item x="33"/>
        <item x="58"/>
        <item x="138"/>
        <item x="193"/>
        <item x="384"/>
        <item x="325"/>
        <item x="303"/>
        <item x="141"/>
        <item x="389"/>
        <item x="151"/>
        <item x="205"/>
        <item x="16"/>
        <item x="274"/>
        <item x="152"/>
        <item x="89"/>
        <item x="68"/>
        <item x="357"/>
        <item x="248"/>
        <item x="74"/>
        <item x="122"/>
        <item x="40"/>
        <item x="64"/>
        <item x="359"/>
        <item x="243"/>
        <item x="48"/>
        <item x="179"/>
        <item x="361"/>
        <item x="371"/>
        <item x="308"/>
        <item x="103"/>
        <item x="373"/>
        <item x="30"/>
        <item x="134"/>
        <item x="69"/>
        <item x="386"/>
        <item x="267"/>
        <item x="195"/>
        <item x="119"/>
        <item x="255"/>
        <item x="117"/>
        <item x="187"/>
        <item x="360"/>
        <item x="245"/>
        <item x="27"/>
        <item x="35"/>
        <item x="233"/>
        <item x="115"/>
        <item x="272"/>
        <item x="149"/>
        <item x="352"/>
        <item x="108"/>
        <item x="317"/>
        <item x="90"/>
        <item x="107"/>
        <item x="276"/>
        <item x="133"/>
        <item x="370"/>
        <item x="198"/>
        <item x="55"/>
        <item x="391"/>
        <item x="366"/>
        <item x="51"/>
        <item x="287"/>
        <item x="291"/>
        <item x="213"/>
        <item x="299"/>
        <item x="345"/>
        <item x="315"/>
        <item x="211"/>
        <item x="265"/>
        <item x="185"/>
        <item x="293"/>
        <item x="191"/>
        <item x="215"/>
        <item x="159"/>
        <item x="180"/>
        <item x="80"/>
        <item x="369"/>
        <item x="22"/>
        <item x="348"/>
        <item x="201"/>
        <item x="284"/>
        <item x="17"/>
        <item x="131"/>
        <item x="377"/>
        <item x="223"/>
        <item x="114"/>
        <item x="216"/>
        <item x="343"/>
        <item x="262"/>
        <item x="6"/>
        <item x="83"/>
        <item x="200"/>
        <item x="61"/>
        <item x="156"/>
        <item x="78"/>
        <item x="192"/>
        <item x="209"/>
        <item x="320"/>
        <item x="220"/>
        <item x="24"/>
        <item x="322"/>
        <item x="56"/>
        <item x="96"/>
        <item x="244"/>
        <item x="38"/>
        <item x="387"/>
        <item x="101"/>
        <item x="279"/>
        <item x="42"/>
        <item x="314"/>
        <item x="336"/>
        <item x="173"/>
        <item x="372"/>
        <item x="126"/>
        <item x="92"/>
        <item x="228"/>
        <item x="227"/>
        <item x="241"/>
        <item x="375"/>
        <item x="139"/>
        <item x="169"/>
        <item x="91"/>
        <item x="206"/>
        <item x="297"/>
        <item x="257"/>
        <item x="19"/>
        <item x="365"/>
        <item t="default"/>
      </items>
    </pivotField>
    <pivotField showAll="0">
      <items count="5">
        <item x="2"/>
        <item x="1"/>
        <item x="3"/>
        <item x="0"/>
        <item t="default"/>
      </items>
    </pivotField>
    <pivotField showAll="0">
      <items count="3">
        <item x="0"/>
        <item x="1"/>
        <item t="default"/>
      </items>
    </pivotField>
    <pivotField showAll="0">
      <items count="5">
        <item x="1"/>
        <item x="2"/>
        <item x="3"/>
        <item x="0"/>
        <item t="default"/>
      </items>
    </pivotField>
    <pivotField showAll="0">
      <items count="8">
        <item x="6"/>
        <item x="2"/>
        <item x="0"/>
        <item x="5"/>
        <item x="3"/>
        <item x="4"/>
        <item x="1"/>
        <item t="default"/>
      </items>
    </pivotField>
    <pivotField dataField="1" showAll="0">
      <items count="10">
        <item x="2"/>
        <item x="0"/>
        <item x="5"/>
        <item x="3"/>
        <item x="1"/>
        <item x="6"/>
        <item x="8"/>
        <item x="7"/>
        <item x="4"/>
        <item t="default"/>
      </items>
    </pivotField>
    <pivotField showAll="0"/>
    <pivotField showAll="0">
      <items count="6">
        <item x="2"/>
        <item x="4"/>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4885A0-36DF-4C86-934F-EDD92A10E5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othing">
  <location ref="S2:T401" firstHeaderRow="1" firstDataRow="1" firstDataCol="1"/>
  <pivotFields count="19">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399">
        <item x="221"/>
        <item x="164"/>
        <item x="29"/>
        <item x="239"/>
        <item x="264"/>
        <item x="153"/>
        <item x="330"/>
        <item x="313"/>
        <item x="82"/>
        <item x="98"/>
        <item x="147"/>
        <item x="85"/>
        <item x="116"/>
        <item x="356"/>
        <item x="128"/>
        <item x="212"/>
        <item x="32"/>
        <item x="208"/>
        <item x="102"/>
        <item x="165"/>
        <item x="283"/>
        <item x="20"/>
        <item x="269"/>
        <item x="54"/>
        <item x="332"/>
        <item x="26"/>
        <item x="190"/>
        <item x="281"/>
        <item x="292"/>
        <item x="95"/>
        <item x="396"/>
        <item x="183"/>
        <item x="327"/>
        <item x="328"/>
        <item x="73"/>
        <item x="214"/>
        <item x="144"/>
        <item x="324"/>
        <item x="376"/>
        <item x="331"/>
        <item x="280"/>
        <item x="158"/>
        <item x="105"/>
        <item x="393"/>
        <item x="39"/>
        <item x="312"/>
        <item x="86"/>
        <item x="381"/>
        <item x="363"/>
        <item x="385"/>
        <item x="94"/>
        <item x="129"/>
        <item x="394"/>
        <item x="50"/>
        <item x="355"/>
        <item x="249"/>
        <item x="263"/>
        <item x="72"/>
        <item x="36"/>
        <item x="238"/>
        <item x="319"/>
        <item x="266"/>
        <item x="207"/>
        <item x="18"/>
        <item x="146"/>
        <item x="0"/>
        <item x="258"/>
        <item x="390"/>
        <item x="145"/>
        <item x="306"/>
        <item x="170"/>
        <item x="37"/>
        <item x="305"/>
        <item x="9"/>
        <item x="41"/>
        <item x="150"/>
        <item x="392"/>
        <item x="53"/>
        <item x="1"/>
        <item x="143"/>
        <item x="346"/>
        <item x="45"/>
        <item x="100"/>
        <item x="335"/>
        <item x="224"/>
        <item x="251"/>
        <item x="5"/>
        <item x="349"/>
        <item x="125"/>
        <item x="81"/>
        <item x="75"/>
        <item x="181"/>
        <item x="380"/>
        <item x="368"/>
        <item x="196"/>
        <item x="252"/>
        <item x="177"/>
        <item x="162"/>
        <item x="323"/>
        <item x="340"/>
        <item x="321"/>
        <item x="188"/>
        <item x="28"/>
        <item x="229"/>
        <item x="57"/>
        <item x="118"/>
        <item x="217"/>
        <item x="234"/>
        <item x="353"/>
        <item x="378"/>
        <item x="218"/>
        <item x="311"/>
        <item x="364"/>
        <item x="112"/>
        <item x="66"/>
        <item x="148"/>
        <item x="87"/>
        <item x="222"/>
        <item x="203"/>
        <item x="43"/>
        <item x="334"/>
        <item x="246"/>
        <item x="367"/>
        <item x="354"/>
        <item x="113"/>
        <item x="309"/>
        <item x="44"/>
        <item x="397"/>
        <item x="197"/>
        <item x="71"/>
        <item x="34"/>
        <item x="178"/>
        <item x="167"/>
        <item x="383"/>
        <item x="230"/>
        <item x="219"/>
        <item x="339"/>
        <item x="13"/>
        <item x="8"/>
        <item x="62"/>
        <item x="77"/>
        <item x="270"/>
        <item x="14"/>
        <item x="294"/>
        <item x="137"/>
        <item x="60"/>
        <item x="298"/>
        <item x="337"/>
        <item x="23"/>
        <item x="106"/>
        <item x="10"/>
        <item x="59"/>
        <item x="97"/>
        <item x="362"/>
        <item x="304"/>
        <item x="296"/>
        <item x="130"/>
        <item x="93"/>
        <item x="286"/>
        <item x="172"/>
        <item x="260"/>
        <item x="242"/>
        <item x="21"/>
        <item x="310"/>
        <item x="127"/>
        <item x="235"/>
        <item x="166"/>
        <item x="329"/>
        <item x="256"/>
        <item x="157"/>
        <item x="31"/>
        <item x="70"/>
        <item x="326"/>
        <item x="120"/>
        <item x="132"/>
        <item x="232"/>
        <item x="46"/>
        <item x="347"/>
        <item x="182"/>
        <item x="121"/>
        <item x="175"/>
        <item x="186"/>
        <item x="318"/>
        <item x="79"/>
        <item x="52"/>
        <item x="161"/>
        <item x="155"/>
        <item x="273"/>
        <item x="49"/>
        <item x="142"/>
        <item x="388"/>
        <item x="160"/>
        <item x="3"/>
        <item x="236"/>
        <item x="25"/>
        <item x="84"/>
        <item x="261"/>
        <item x="247"/>
        <item x="300"/>
        <item x="254"/>
        <item x="67"/>
        <item x="104"/>
        <item x="342"/>
        <item x="163"/>
        <item x="351"/>
        <item x="11"/>
        <item x="282"/>
        <item x="2"/>
        <item x="237"/>
        <item x="350"/>
        <item x="307"/>
        <item x="268"/>
        <item x="338"/>
        <item x="47"/>
        <item x="15"/>
        <item x="124"/>
        <item x="277"/>
        <item x="225"/>
        <item x="285"/>
        <item x="123"/>
        <item x="290"/>
        <item x="395"/>
        <item x="199"/>
        <item x="231"/>
        <item x="4"/>
        <item x="65"/>
        <item x="12"/>
        <item x="176"/>
        <item x="202"/>
        <item x="374"/>
        <item x="174"/>
        <item x="63"/>
        <item x="271"/>
        <item x="302"/>
        <item x="288"/>
        <item x="382"/>
        <item x="240"/>
        <item x="7"/>
        <item x="168"/>
        <item x="109"/>
        <item x="210"/>
        <item x="204"/>
        <item x="99"/>
        <item x="189"/>
        <item x="295"/>
        <item x="111"/>
        <item x="289"/>
        <item x="278"/>
        <item x="259"/>
        <item x="250"/>
        <item x="316"/>
        <item x="154"/>
        <item x="140"/>
        <item x="135"/>
        <item x="110"/>
        <item x="76"/>
        <item x="226"/>
        <item x="184"/>
        <item x="344"/>
        <item x="341"/>
        <item x="136"/>
        <item x="358"/>
        <item x="171"/>
        <item x="253"/>
        <item x="379"/>
        <item x="275"/>
        <item x="301"/>
        <item x="333"/>
        <item x="88"/>
        <item x="194"/>
        <item x="33"/>
        <item x="58"/>
        <item x="138"/>
        <item x="193"/>
        <item x="384"/>
        <item x="325"/>
        <item x="303"/>
        <item x="141"/>
        <item x="389"/>
        <item x="151"/>
        <item x="205"/>
        <item x="16"/>
        <item x="274"/>
        <item x="152"/>
        <item x="89"/>
        <item x="68"/>
        <item x="357"/>
        <item x="248"/>
        <item x="74"/>
        <item x="122"/>
        <item x="40"/>
        <item x="64"/>
        <item x="359"/>
        <item x="243"/>
        <item x="48"/>
        <item x="179"/>
        <item x="361"/>
        <item x="371"/>
        <item x="308"/>
        <item x="103"/>
        <item x="373"/>
        <item x="30"/>
        <item x="134"/>
        <item x="69"/>
        <item x="386"/>
        <item x="267"/>
        <item x="195"/>
        <item x="119"/>
        <item x="255"/>
        <item x="117"/>
        <item x="187"/>
        <item x="360"/>
        <item x="245"/>
        <item x="27"/>
        <item x="35"/>
        <item x="233"/>
        <item x="115"/>
        <item x="272"/>
        <item x="149"/>
        <item x="352"/>
        <item x="108"/>
        <item x="317"/>
        <item x="90"/>
        <item x="107"/>
        <item x="276"/>
        <item x="133"/>
        <item x="370"/>
        <item x="198"/>
        <item x="55"/>
        <item x="391"/>
        <item x="366"/>
        <item x="51"/>
        <item x="287"/>
        <item x="291"/>
        <item x="213"/>
        <item x="299"/>
        <item x="345"/>
        <item x="315"/>
        <item x="211"/>
        <item x="265"/>
        <item x="185"/>
        <item x="293"/>
        <item x="191"/>
        <item x="215"/>
        <item x="159"/>
        <item x="180"/>
        <item x="80"/>
        <item x="369"/>
        <item x="22"/>
        <item x="348"/>
        <item x="201"/>
        <item x="284"/>
        <item x="17"/>
        <item x="131"/>
        <item x="377"/>
        <item x="223"/>
        <item x="114"/>
        <item x="216"/>
        <item x="343"/>
        <item x="262"/>
        <item x="6"/>
        <item x="83"/>
        <item x="200"/>
        <item x="61"/>
        <item x="156"/>
        <item x="78"/>
        <item x="192"/>
        <item x="209"/>
        <item x="320"/>
        <item x="220"/>
        <item x="24"/>
        <item x="322"/>
        <item x="56"/>
        <item x="96"/>
        <item x="244"/>
        <item x="38"/>
        <item x="387"/>
        <item x="101"/>
        <item x="279"/>
        <item x="42"/>
        <item x="314"/>
        <item x="336"/>
        <item x="173"/>
        <item x="372"/>
        <item x="126"/>
        <item x="92"/>
        <item x="228"/>
        <item x="227"/>
        <item x="241"/>
        <item x="375"/>
        <item x="139"/>
        <item x="169"/>
        <item x="91"/>
        <item x="206"/>
        <item x="297"/>
        <item x="257"/>
        <item x="19"/>
        <item x="365"/>
        <item t="default"/>
      </items>
    </pivotField>
    <pivotField showAll="0">
      <items count="5">
        <item x="2"/>
        <item x="1"/>
        <item x="3"/>
        <item x="0"/>
        <item t="default"/>
      </items>
    </pivotField>
    <pivotField showAll="0">
      <items count="3">
        <item x="0"/>
        <item x="1"/>
        <item t="default"/>
      </items>
    </pivotField>
    <pivotField showAll="0">
      <items count="5">
        <item x="1"/>
        <item x="2"/>
        <item x="3"/>
        <item x="0"/>
        <item t="default"/>
      </items>
    </pivotField>
    <pivotField showAll="0">
      <items count="8">
        <item x="6"/>
        <item x="2"/>
        <item x="0"/>
        <item x="5"/>
        <item x="3"/>
        <item x="4"/>
        <item x="1"/>
        <item t="default"/>
      </items>
    </pivotField>
    <pivotField showAll="0">
      <items count="10">
        <item x="2"/>
        <item x="0"/>
        <item x="5"/>
        <item x="3"/>
        <item x="1"/>
        <item x="6"/>
        <item x="8"/>
        <item x="7"/>
        <item x="4"/>
        <item t="default"/>
      </items>
    </pivotField>
    <pivotField showAll="0"/>
    <pivotField showAll="0">
      <items count="6">
        <item x="2"/>
        <item x="4"/>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3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t="grand">
      <x/>
    </i>
  </rowItems>
  <colItems count="1">
    <i/>
  </colItems>
  <dataFields count="1">
    <dataField name="Count of Order_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C24" firstHeaderRow="1"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8">
        <item x="6"/>
        <item x="2"/>
        <item x="0"/>
        <item x="5"/>
        <item x="3"/>
        <item x="4"/>
        <item x="1"/>
        <item t="default"/>
      </items>
    </pivotField>
    <pivotField showAll="0">
      <items count="10">
        <item x="2"/>
        <item x="0"/>
        <item x="5"/>
        <item x="3"/>
        <item x="1"/>
        <item x="6"/>
        <item x="8"/>
        <item x="7"/>
        <item x="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v="1"/>
    </i>
    <i>
      <x/>
    </i>
    <i>
      <x v="3"/>
    </i>
    <i>
      <x v="2"/>
    </i>
    <i t="grand">
      <x/>
    </i>
  </rowItems>
  <colItems count="1">
    <i/>
  </colItems>
  <dataFields count="1">
    <dataField name="Sum of Net_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othing">
  <location ref="N2:Q13" firstHeaderRow="0" firstDataRow="1" firstDataCol="1"/>
  <pivotFields count="19">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measureFilter="1" sortType="descending">
      <items count="399">
        <item x="221"/>
        <item x="164"/>
        <item x="29"/>
        <item x="239"/>
        <item x="264"/>
        <item x="153"/>
        <item x="330"/>
        <item x="313"/>
        <item x="82"/>
        <item x="98"/>
        <item x="147"/>
        <item x="85"/>
        <item x="116"/>
        <item x="356"/>
        <item x="128"/>
        <item x="212"/>
        <item x="32"/>
        <item x="208"/>
        <item x="102"/>
        <item x="165"/>
        <item x="283"/>
        <item x="20"/>
        <item x="269"/>
        <item x="54"/>
        <item x="332"/>
        <item x="26"/>
        <item x="190"/>
        <item x="281"/>
        <item x="292"/>
        <item x="95"/>
        <item x="396"/>
        <item x="183"/>
        <item x="327"/>
        <item x="328"/>
        <item x="73"/>
        <item x="214"/>
        <item x="144"/>
        <item x="324"/>
        <item x="376"/>
        <item x="331"/>
        <item x="280"/>
        <item x="158"/>
        <item x="105"/>
        <item x="393"/>
        <item x="39"/>
        <item x="312"/>
        <item x="86"/>
        <item x="381"/>
        <item x="363"/>
        <item x="385"/>
        <item x="94"/>
        <item x="129"/>
        <item x="394"/>
        <item x="50"/>
        <item x="355"/>
        <item x="249"/>
        <item x="263"/>
        <item x="72"/>
        <item x="36"/>
        <item x="238"/>
        <item x="319"/>
        <item x="266"/>
        <item x="207"/>
        <item x="18"/>
        <item x="146"/>
        <item x="0"/>
        <item x="258"/>
        <item x="390"/>
        <item x="145"/>
        <item x="306"/>
        <item x="170"/>
        <item x="37"/>
        <item x="305"/>
        <item x="9"/>
        <item x="41"/>
        <item x="150"/>
        <item x="392"/>
        <item x="53"/>
        <item x="1"/>
        <item x="143"/>
        <item x="346"/>
        <item x="45"/>
        <item x="100"/>
        <item x="335"/>
        <item x="224"/>
        <item x="251"/>
        <item x="5"/>
        <item x="349"/>
        <item x="125"/>
        <item x="81"/>
        <item x="75"/>
        <item x="181"/>
        <item x="380"/>
        <item x="368"/>
        <item x="196"/>
        <item x="252"/>
        <item x="177"/>
        <item x="162"/>
        <item x="323"/>
        <item x="340"/>
        <item x="321"/>
        <item x="188"/>
        <item x="28"/>
        <item x="229"/>
        <item x="57"/>
        <item x="118"/>
        <item x="217"/>
        <item x="234"/>
        <item x="353"/>
        <item x="378"/>
        <item x="218"/>
        <item x="311"/>
        <item x="364"/>
        <item x="112"/>
        <item x="66"/>
        <item x="148"/>
        <item x="87"/>
        <item x="222"/>
        <item x="203"/>
        <item x="43"/>
        <item x="334"/>
        <item x="246"/>
        <item x="367"/>
        <item x="354"/>
        <item x="113"/>
        <item x="309"/>
        <item x="44"/>
        <item x="397"/>
        <item x="197"/>
        <item x="71"/>
        <item x="34"/>
        <item x="178"/>
        <item x="167"/>
        <item x="383"/>
        <item x="230"/>
        <item x="219"/>
        <item x="339"/>
        <item x="13"/>
        <item x="8"/>
        <item x="62"/>
        <item x="77"/>
        <item x="270"/>
        <item x="14"/>
        <item x="294"/>
        <item x="137"/>
        <item x="60"/>
        <item x="298"/>
        <item x="337"/>
        <item x="23"/>
        <item x="106"/>
        <item x="10"/>
        <item x="59"/>
        <item x="97"/>
        <item x="362"/>
        <item x="304"/>
        <item x="296"/>
        <item x="130"/>
        <item x="93"/>
        <item x="286"/>
        <item x="172"/>
        <item x="260"/>
        <item x="242"/>
        <item x="21"/>
        <item x="310"/>
        <item x="127"/>
        <item x="235"/>
        <item x="166"/>
        <item x="329"/>
        <item x="256"/>
        <item x="157"/>
        <item x="31"/>
        <item x="70"/>
        <item x="326"/>
        <item x="120"/>
        <item x="132"/>
        <item x="232"/>
        <item x="46"/>
        <item x="347"/>
        <item x="182"/>
        <item x="121"/>
        <item x="175"/>
        <item x="186"/>
        <item x="318"/>
        <item x="79"/>
        <item x="52"/>
        <item x="161"/>
        <item x="155"/>
        <item x="273"/>
        <item x="49"/>
        <item x="142"/>
        <item x="388"/>
        <item x="160"/>
        <item x="3"/>
        <item x="236"/>
        <item x="25"/>
        <item x="84"/>
        <item x="261"/>
        <item x="247"/>
        <item x="300"/>
        <item x="254"/>
        <item x="67"/>
        <item x="104"/>
        <item x="342"/>
        <item x="163"/>
        <item x="351"/>
        <item x="11"/>
        <item x="282"/>
        <item x="2"/>
        <item x="237"/>
        <item x="350"/>
        <item x="307"/>
        <item x="268"/>
        <item x="338"/>
        <item x="47"/>
        <item x="15"/>
        <item x="124"/>
        <item x="277"/>
        <item x="225"/>
        <item x="285"/>
        <item x="123"/>
        <item x="290"/>
        <item x="395"/>
        <item x="199"/>
        <item x="231"/>
        <item x="4"/>
        <item x="65"/>
        <item x="12"/>
        <item x="176"/>
        <item x="202"/>
        <item x="374"/>
        <item x="174"/>
        <item x="63"/>
        <item x="271"/>
        <item x="302"/>
        <item x="288"/>
        <item x="382"/>
        <item x="240"/>
        <item x="7"/>
        <item x="168"/>
        <item x="109"/>
        <item x="210"/>
        <item x="204"/>
        <item x="99"/>
        <item x="189"/>
        <item x="295"/>
        <item x="111"/>
        <item x="289"/>
        <item x="278"/>
        <item x="259"/>
        <item x="250"/>
        <item x="316"/>
        <item x="154"/>
        <item x="140"/>
        <item x="135"/>
        <item x="110"/>
        <item x="76"/>
        <item x="226"/>
        <item x="184"/>
        <item x="344"/>
        <item x="341"/>
        <item x="136"/>
        <item x="358"/>
        <item x="171"/>
        <item x="253"/>
        <item x="379"/>
        <item x="275"/>
        <item x="301"/>
        <item x="333"/>
        <item x="88"/>
        <item x="194"/>
        <item x="33"/>
        <item x="58"/>
        <item x="138"/>
        <item x="193"/>
        <item x="384"/>
        <item x="325"/>
        <item x="303"/>
        <item x="141"/>
        <item x="389"/>
        <item x="151"/>
        <item x="205"/>
        <item x="16"/>
        <item x="274"/>
        <item x="152"/>
        <item x="89"/>
        <item x="68"/>
        <item x="357"/>
        <item x="248"/>
        <item x="74"/>
        <item x="122"/>
        <item x="40"/>
        <item x="64"/>
        <item x="359"/>
        <item x="243"/>
        <item x="48"/>
        <item x="179"/>
        <item x="361"/>
        <item x="371"/>
        <item x="308"/>
        <item x="103"/>
        <item x="373"/>
        <item x="30"/>
        <item x="134"/>
        <item x="69"/>
        <item x="386"/>
        <item x="267"/>
        <item x="195"/>
        <item x="119"/>
        <item x="255"/>
        <item x="117"/>
        <item x="187"/>
        <item x="360"/>
        <item x="245"/>
        <item x="27"/>
        <item x="35"/>
        <item x="233"/>
        <item x="115"/>
        <item x="272"/>
        <item x="149"/>
        <item x="352"/>
        <item x="108"/>
        <item x="317"/>
        <item x="90"/>
        <item x="107"/>
        <item x="276"/>
        <item x="133"/>
        <item x="370"/>
        <item x="198"/>
        <item x="55"/>
        <item x="391"/>
        <item x="366"/>
        <item x="51"/>
        <item x="287"/>
        <item x="291"/>
        <item x="213"/>
        <item x="299"/>
        <item x="345"/>
        <item x="315"/>
        <item x="211"/>
        <item x="265"/>
        <item x="185"/>
        <item x="293"/>
        <item x="191"/>
        <item x="215"/>
        <item x="159"/>
        <item x="180"/>
        <item x="80"/>
        <item x="369"/>
        <item x="22"/>
        <item x="348"/>
        <item x="201"/>
        <item x="284"/>
        <item x="17"/>
        <item x="131"/>
        <item x="377"/>
        <item x="223"/>
        <item x="114"/>
        <item x="216"/>
        <item x="343"/>
        <item x="262"/>
        <item x="6"/>
        <item x="83"/>
        <item x="200"/>
        <item x="61"/>
        <item x="156"/>
        <item x="78"/>
        <item x="192"/>
        <item x="209"/>
        <item x="320"/>
        <item x="220"/>
        <item x="24"/>
        <item x="322"/>
        <item x="56"/>
        <item x="96"/>
        <item x="244"/>
        <item x="38"/>
        <item x="387"/>
        <item x="101"/>
        <item x="279"/>
        <item x="42"/>
        <item x="314"/>
        <item x="336"/>
        <item x="173"/>
        <item x="372"/>
        <item x="126"/>
        <item x="92"/>
        <item x="228"/>
        <item x="227"/>
        <item x="241"/>
        <item x="375"/>
        <item x="139"/>
        <item x="169"/>
        <item x="91"/>
        <item x="206"/>
        <item x="297"/>
        <item x="257"/>
        <item x="19"/>
        <item x="365"/>
        <item t="default"/>
      </items>
      <autoSortScope>
        <pivotArea dataOnly="0" outline="0" fieldPosition="0">
          <references count="1">
            <reference field="4294967294" count="1" selected="0">
              <x v="1"/>
            </reference>
          </references>
        </pivotArea>
      </autoSortScope>
    </pivotField>
    <pivotField showAll="0">
      <items count="5">
        <item x="2"/>
        <item x="1"/>
        <item x="3"/>
        <item x="0"/>
        <item t="default"/>
      </items>
    </pivotField>
    <pivotField showAll="0">
      <items count="3">
        <item x="0"/>
        <item x="1"/>
        <item t="default"/>
      </items>
    </pivotField>
    <pivotField showAll="0">
      <items count="5">
        <item x="1"/>
        <item x="2"/>
        <item x="3"/>
        <item x="0"/>
        <item t="default"/>
      </items>
    </pivotField>
    <pivotField showAll="0">
      <items count="8">
        <item x="6"/>
        <item x="2"/>
        <item x="0"/>
        <item x="5"/>
        <item x="3"/>
        <item x="4"/>
        <item x="1"/>
        <item t="default"/>
      </items>
    </pivotField>
    <pivotField showAll="0">
      <items count="10">
        <item x="2"/>
        <item x="0"/>
        <item x="5"/>
        <item x="3"/>
        <item x="1"/>
        <item x="6"/>
        <item x="8"/>
        <item x="7"/>
        <item x="4"/>
        <item t="default"/>
      </items>
    </pivotField>
    <pivotField showAll="0"/>
    <pivotField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showAll="0"/>
    <pivotField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s>
  <rowFields count="1">
    <field x="2"/>
  </rowFields>
  <rowItems count="11">
    <i>
      <x v="16"/>
    </i>
    <i>
      <x v="307"/>
    </i>
    <i>
      <x v="171"/>
    </i>
    <i>
      <x v="285"/>
    </i>
    <i>
      <x v="105"/>
    </i>
    <i>
      <x v="382"/>
    </i>
    <i>
      <x v="131"/>
    </i>
    <i>
      <x v="208"/>
    </i>
    <i>
      <x v="17"/>
    </i>
    <i>
      <x v="94"/>
    </i>
    <i t="grand">
      <x/>
    </i>
  </rowItems>
  <colFields count="1">
    <field x="-2"/>
  </colFields>
  <colItems count="3">
    <i>
      <x/>
    </i>
    <i i="1">
      <x v="1"/>
    </i>
    <i i="2">
      <x v="2"/>
    </i>
  </colItems>
  <dataFields count="3">
    <dataField name="Sum of Profit" fld="15" baseField="6" baseItem="0"/>
    <dataField name="Sum of Net_Revenue" fld="12" baseField="6" baseItem="0"/>
    <dataField name="Count of Order_ID" fld="0" subtotal="count" baseField="2" baseItem="0"/>
  </dataField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17" firstHeaderRow="1"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2"/>
        <item x="1"/>
        <item x="3"/>
        <item x="0"/>
        <item t="default"/>
      </items>
    </pivotField>
    <pivotField showAll="0">
      <items count="3">
        <item x="0"/>
        <item x="1"/>
        <item t="default"/>
      </items>
    </pivotField>
    <pivotField showAll="0"/>
    <pivotField axis="axisRow" showAll="0" measureFilter="1" sortType="descending">
      <items count="8">
        <item x="6"/>
        <item x="2"/>
        <item x="0"/>
        <item x="5"/>
        <item x="3"/>
        <item x="4"/>
        <item x="1"/>
        <item t="default"/>
      </items>
      <autoSortScope>
        <pivotArea dataOnly="0" outline="0" fieldPosition="0">
          <references count="1">
            <reference field="4294967294" count="1" selected="0">
              <x v="0"/>
            </reference>
          </references>
        </pivotArea>
      </autoSortScope>
    </pivotField>
    <pivotField dataField="1" showAll="0">
      <items count="10">
        <item x="2"/>
        <item x="0"/>
        <item x="5"/>
        <item x="3"/>
        <item x="1"/>
        <item x="6"/>
        <item x="8"/>
        <item x="7"/>
        <item x="4"/>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4">
    <i>
      <x v="4"/>
    </i>
    <i>
      <x v="2"/>
    </i>
    <i>
      <x v="3"/>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6"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G7" firstHeaderRow="0"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8">
        <item x="6"/>
        <item x="2"/>
        <item x="0"/>
        <item x="5"/>
        <item x="3"/>
        <item x="4"/>
        <item x="1"/>
        <item t="default"/>
      </items>
    </pivotField>
    <pivotField showAll="0">
      <items count="10">
        <item x="2"/>
        <item x="0"/>
        <item x="5"/>
        <item x="3"/>
        <item x="1"/>
        <item x="6"/>
        <item x="8"/>
        <item x="7"/>
        <item x="4"/>
        <item t="default"/>
      </items>
    </pivotField>
    <pivotField showAll="0"/>
    <pivotField showAll="0"/>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v="1"/>
    </i>
    <i>
      <x/>
    </i>
    <i>
      <x v="3"/>
    </i>
    <i>
      <x v="2"/>
    </i>
    <i t="grand">
      <x/>
    </i>
  </rowItems>
  <colFields count="1">
    <field x="-2"/>
  </colFields>
  <colItems count="2">
    <i>
      <x/>
    </i>
    <i i="1">
      <x v="1"/>
    </i>
  </colItems>
  <dataFields count="2">
    <dataField name="Sum of Net_Revenue" fld="12" baseField="0" baseItem="0"/>
    <dataField name="Sum of Profit" fld="1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lothing">
  <location ref="E29:F36" firstHeaderRow="1" firstDataRow="1" firstDataCol="1"/>
  <pivotFields count="19">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2"/>
        <item x="1"/>
        <item x="3"/>
        <item x="0"/>
        <item t="default"/>
      </items>
    </pivotField>
    <pivotField showAll="0">
      <items count="3">
        <item x="0"/>
        <item x="1"/>
        <item t="default"/>
      </items>
    </pivotField>
    <pivotField showAll="0">
      <items count="5">
        <item x="1"/>
        <item x="2"/>
        <item x="3"/>
        <item x="0"/>
        <item t="default"/>
      </items>
    </pivotField>
    <pivotField axis="axisRow" showAll="0">
      <items count="8">
        <item x="6"/>
        <item x="2"/>
        <item x="0"/>
        <item x="5"/>
        <item x="3"/>
        <item x="4"/>
        <item x="1"/>
        <item t="default"/>
      </items>
    </pivotField>
    <pivotField showAll="0">
      <items count="10">
        <item x="2"/>
        <item x="0"/>
        <item x="5"/>
        <item x="3"/>
        <item x="1"/>
        <item x="6"/>
        <item x="8"/>
        <item x="7"/>
        <item x="4"/>
        <item t="default"/>
      </items>
    </pivotField>
    <pivotField showAll="0"/>
    <pivotField showAll="0">
      <items count="6">
        <item x="2"/>
        <item x="4"/>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7">
    <i>
      <x/>
    </i>
    <i>
      <x v="1"/>
    </i>
    <i>
      <x v="2"/>
    </i>
    <i>
      <x v="3"/>
    </i>
    <i>
      <x v="4"/>
    </i>
    <i>
      <x v="5"/>
    </i>
    <i>
      <x v="6"/>
    </i>
  </rowItems>
  <colItems count="1">
    <i/>
  </colItems>
  <dataFields count="1">
    <dataField name="Average of Profit_Margin_Pct" fld="16" subtotal="average" baseField="6" baseItem="0"/>
  </dataFields>
  <chartFormats count="1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5"/>
          </reference>
        </references>
      </pivotArea>
    </chartFormat>
    <chartFormat chart="3" format="4">
      <pivotArea type="data" outline="0" fieldPosition="0">
        <references count="2">
          <reference field="4294967294" count="1" selected="0">
            <x v="0"/>
          </reference>
          <reference field="6" count="1" selected="0">
            <x v="6"/>
          </reference>
        </references>
      </pivotArea>
    </chartFormat>
    <chartFormat chart="3" format="5">
      <pivotArea type="data" outline="0" fieldPosition="0">
        <references count="2">
          <reference field="4294967294" count="1" selected="0">
            <x v="0"/>
          </reference>
          <reference field="6" count="1" selected="0">
            <x v="3"/>
          </reference>
        </references>
      </pivotArea>
    </chartFormat>
    <chartFormat chart="3" format="6">
      <pivotArea type="data" outline="0" fieldPosition="0">
        <references count="2">
          <reference field="4294967294" count="1" selected="0">
            <x v="0"/>
          </reference>
          <reference field="6" count="1" selected="0">
            <x v="4"/>
          </reference>
        </references>
      </pivotArea>
    </chartFormat>
    <chartFormat chart="3" format="7">
      <pivotArea type="data" outline="0" fieldPosition="0">
        <references count="2">
          <reference field="4294967294" count="1" selected="0">
            <x v="0"/>
          </reference>
          <reference field="6" count="1" selected="0">
            <x v="2"/>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6" count="1" selected="0">
            <x v="0"/>
          </reference>
        </references>
      </pivotArea>
    </chartFormat>
    <chartFormat chart="5" format="20">
      <pivotArea type="data" outline="0" fieldPosition="0">
        <references count="2">
          <reference field="4294967294" count="1" selected="0">
            <x v="0"/>
          </reference>
          <reference field="6" count="1" selected="0">
            <x v="1"/>
          </reference>
        </references>
      </pivotArea>
    </chartFormat>
    <chartFormat chart="5" format="21">
      <pivotArea type="data" outline="0" fieldPosition="0">
        <references count="2">
          <reference field="4294967294" count="1" selected="0">
            <x v="0"/>
          </reference>
          <reference field="6" count="1" selected="0">
            <x v="2"/>
          </reference>
        </references>
      </pivotArea>
    </chartFormat>
    <chartFormat chart="5" format="22">
      <pivotArea type="data" outline="0" fieldPosition="0">
        <references count="2">
          <reference field="4294967294" count="1" selected="0">
            <x v="0"/>
          </reference>
          <reference field="6" count="1" selected="0">
            <x v="3"/>
          </reference>
        </references>
      </pivotArea>
    </chartFormat>
    <chartFormat chart="5" format="23">
      <pivotArea type="data" outline="0" fieldPosition="0">
        <references count="2">
          <reference field="4294967294" count="1" selected="0">
            <x v="0"/>
          </reference>
          <reference field="6" count="1" selected="0">
            <x v="4"/>
          </reference>
        </references>
      </pivotArea>
    </chartFormat>
    <chartFormat chart="5" format="24">
      <pivotArea type="data" outline="0" fieldPosition="0">
        <references count="2">
          <reference field="4294967294" count="1" selected="0">
            <x v="0"/>
          </reference>
          <reference field="6" count="1" selected="0">
            <x v="5"/>
          </reference>
        </references>
      </pivotArea>
    </chartFormat>
    <chartFormat chart="5" format="25">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81435E6-FBBE-4C1A-B8F2-FA7422AE4FFC}" sourceName="Channel">
  <pivotTables>
    <pivotTable tabId="2" name="PivotTable8"/>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9"/>
    <pivotTable tabId="2" name="PivotTable1"/>
    <pivotTable tabId="2" name="PivotTable7"/>
  </pivotTables>
  <data>
    <tabular pivotCacheId="21236032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5A7F6E-3989-42E0-9777-F9B947F16924}" sourceName="Region">
  <pivotTables>
    <pivotTable tabId="2" name="PivotTable8"/>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9"/>
    <pivotTable tabId="2" name="PivotTable1"/>
    <pivotTable tabId="2" name="PivotTable7"/>
  </pivotTables>
  <data>
    <tabular pivotCacheId="2123603212">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37E527DC-69EF-464B-AC60-CF2FA6B79BF5}" cache="Slicer_Channel" caption="CHANNEL" columnCount="2" style="SlicerStyleDark1 2" rowHeight="360000"/>
  <slicer name="Region" xr10:uid="{09BD466B-BB1B-41EF-8909-C3107B4D467B}" cache="Slicer_Region" caption="REGION" columnCount="2" style="SlicerStyleDark1 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opLeftCell="B1" workbookViewId="0">
      <selection activeCell="B2" sqref="B2"/>
    </sheetView>
  </sheetViews>
  <sheetFormatPr defaultRowHeight="15" x14ac:dyDescent="0.25"/>
  <cols>
    <col min="2" max="2" width="11.28515625" bestFit="1" customWidth="1"/>
    <col min="3" max="3" width="12.42578125" bestFit="1" customWidth="1"/>
    <col min="5" max="5" width="8.28515625" bestFit="1" customWidth="1"/>
    <col min="6" max="6" width="16.85546875" bestFit="1" customWidth="1"/>
    <col min="7" max="7" width="14.28515625" bestFit="1" customWidth="1"/>
    <col min="9" max="9" width="10.140625" bestFit="1" customWidth="1"/>
    <col min="10" max="10" width="12.42578125" bestFit="1" customWidth="1"/>
    <col min="11" max="11" width="14.85546875" bestFit="1" customWidth="1"/>
    <col min="12" max="12" width="17" bestFit="1" customWidth="1"/>
    <col min="13" max="13" width="13.28515625" bestFit="1" customWidth="1"/>
    <col min="14" max="14" width="13.7109375" bestFit="1" customWidth="1"/>
    <col min="15" max="15" width="10.28515625" bestFit="1" customWidth="1"/>
    <col min="17" max="17" width="17"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10001</v>
      </c>
      <c r="B2" s="1">
        <v>45658</v>
      </c>
      <c r="C2">
        <v>3175</v>
      </c>
      <c r="D2" t="s">
        <v>17</v>
      </c>
      <c r="E2" t="s">
        <v>18</v>
      </c>
      <c r="F2" t="s">
        <v>19</v>
      </c>
      <c r="G2" t="s">
        <v>20</v>
      </c>
      <c r="H2">
        <v>2</v>
      </c>
      <c r="I2">
        <v>162.53</v>
      </c>
      <c r="J2">
        <v>15</v>
      </c>
      <c r="K2">
        <v>325.06</v>
      </c>
      <c r="L2">
        <v>48.759</v>
      </c>
      <c r="M2">
        <v>276.30099999999999</v>
      </c>
      <c r="N2">
        <v>24.3</v>
      </c>
      <c r="O2">
        <v>48.6</v>
      </c>
      <c r="P2">
        <v>227.70099999999999</v>
      </c>
      <c r="Q2">
        <v>82.410487113691204</v>
      </c>
    </row>
    <row r="3" spans="1:17" x14ac:dyDescent="0.25">
      <c r="A3">
        <v>10002</v>
      </c>
      <c r="B3" s="1">
        <v>45659</v>
      </c>
      <c r="C3">
        <v>3196</v>
      </c>
      <c r="D3" t="s">
        <v>21</v>
      </c>
      <c r="E3" t="s">
        <v>18</v>
      </c>
      <c r="F3" t="s">
        <v>19</v>
      </c>
      <c r="G3" t="s">
        <v>22</v>
      </c>
      <c r="H3">
        <v>5</v>
      </c>
      <c r="I3">
        <v>10.4</v>
      </c>
      <c r="J3">
        <v>20</v>
      </c>
      <c r="K3">
        <v>52</v>
      </c>
      <c r="L3">
        <v>10.4</v>
      </c>
      <c r="M3">
        <v>41.6</v>
      </c>
      <c r="N3">
        <v>33.71</v>
      </c>
      <c r="O3">
        <v>168.55</v>
      </c>
      <c r="P3">
        <v>-126.95</v>
      </c>
      <c r="Q3">
        <v>-305.168269230769</v>
      </c>
    </row>
    <row r="4" spans="1:17" x14ac:dyDescent="0.25">
      <c r="A4">
        <v>10003</v>
      </c>
      <c r="B4" s="1">
        <v>45660</v>
      </c>
      <c r="C4">
        <v>3537</v>
      </c>
      <c r="D4" t="s">
        <v>23</v>
      </c>
      <c r="E4" t="s">
        <v>24</v>
      </c>
      <c r="F4" t="s">
        <v>25</v>
      </c>
      <c r="G4" t="s">
        <v>22</v>
      </c>
      <c r="H4">
        <v>1</v>
      </c>
      <c r="I4">
        <v>211.65</v>
      </c>
      <c r="J4">
        <v>0</v>
      </c>
      <c r="K4">
        <v>211.65</v>
      </c>
      <c r="L4">
        <v>0</v>
      </c>
      <c r="M4">
        <v>211.65</v>
      </c>
      <c r="N4">
        <v>109.14</v>
      </c>
      <c r="O4">
        <v>109.14</v>
      </c>
      <c r="P4">
        <v>102.51</v>
      </c>
      <c r="Q4">
        <v>48.433734939758999</v>
      </c>
    </row>
    <row r="5" spans="1:17" x14ac:dyDescent="0.25">
      <c r="A5">
        <v>10004</v>
      </c>
      <c r="B5" s="1">
        <v>45661</v>
      </c>
      <c r="C5">
        <v>3502</v>
      </c>
      <c r="D5" t="s">
        <v>21</v>
      </c>
      <c r="E5" t="s">
        <v>18</v>
      </c>
      <c r="F5" t="s">
        <v>26</v>
      </c>
      <c r="G5" t="s">
        <v>27</v>
      </c>
      <c r="H5">
        <v>4</v>
      </c>
      <c r="I5">
        <v>63.72</v>
      </c>
      <c r="J5">
        <v>10</v>
      </c>
      <c r="K5">
        <v>254.88</v>
      </c>
      <c r="L5">
        <v>25.488</v>
      </c>
      <c r="M5">
        <v>229.392</v>
      </c>
      <c r="N5">
        <v>82.99</v>
      </c>
      <c r="O5">
        <v>331.96</v>
      </c>
      <c r="P5">
        <v>-102.567999999999</v>
      </c>
      <c r="Q5">
        <v>-44.712980400362603</v>
      </c>
    </row>
    <row r="6" spans="1:17" x14ac:dyDescent="0.25">
      <c r="A6">
        <v>10005</v>
      </c>
      <c r="B6" s="1">
        <v>45662</v>
      </c>
      <c r="C6">
        <v>3579</v>
      </c>
      <c r="D6" t="s">
        <v>23</v>
      </c>
      <c r="E6" t="s">
        <v>24</v>
      </c>
      <c r="F6" t="s">
        <v>25</v>
      </c>
      <c r="G6" t="s">
        <v>22</v>
      </c>
      <c r="H6">
        <v>9</v>
      </c>
      <c r="I6">
        <v>147.16</v>
      </c>
      <c r="J6">
        <v>15</v>
      </c>
      <c r="K6">
        <v>1324.44</v>
      </c>
      <c r="L6">
        <v>198.666</v>
      </c>
      <c r="M6">
        <v>1125.7739999999999</v>
      </c>
      <c r="N6">
        <v>107.51</v>
      </c>
      <c r="O6">
        <v>967.59</v>
      </c>
      <c r="P6">
        <v>158.184</v>
      </c>
      <c r="Q6">
        <v>14.051132820619401</v>
      </c>
    </row>
    <row r="7" spans="1:17" x14ac:dyDescent="0.25">
      <c r="A7">
        <v>10006</v>
      </c>
      <c r="B7" s="1">
        <v>45663</v>
      </c>
      <c r="C7">
        <v>3211</v>
      </c>
      <c r="D7" t="s">
        <v>23</v>
      </c>
      <c r="E7" t="s">
        <v>24</v>
      </c>
      <c r="F7" t="s">
        <v>26</v>
      </c>
      <c r="G7" t="s">
        <v>28</v>
      </c>
      <c r="H7">
        <v>2</v>
      </c>
      <c r="I7">
        <v>94.38</v>
      </c>
      <c r="J7">
        <v>5</v>
      </c>
      <c r="K7">
        <v>188.76</v>
      </c>
      <c r="L7">
        <v>9.4380000000000006</v>
      </c>
      <c r="M7">
        <v>179.322</v>
      </c>
      <c r="N7">
        <v>91.88</v>
      </c>
      <c r="O7">
        <v>183.76</v>
      </c>
      <c r="P7">
        <v>-4.4379999999999802</v>
      </c>
      <c r="Q7">
        <v>-2.47487759449481</v>
      </c>
    </row>
    <row r="8" spans="1:17" x14ac:dyDescent="0.25">
      <c r="A8">
        <v>10007</v>
      </c>
      <c r="B8" s="1">
        <v>45664</v>
      </c>
      <c r="C8">
        <v>3919</v>
      </c>
      <c r="D8" t="s">
        <v>29</v>
      </c>
      <c r="E8" t="s">
        <v>24</v>
      </c>
      <c r="F8" t="s">
        <v>26</v>
      </c>
      <c r="G8" t="s">
        <v>20</v>
      </c>
      <c r="H8">
        <v>3</v>
      </c>
      <c r="I8">
        <v>150.56</v>
      </c>
      <c r="J8">
        <v>10</v>
      </c>
      <c r="K8">
        <v>451.68</v>
      </c>
      <c r="L8">
        <v>45.167999999999999</v>
      </c>
      <c r="M8">
        <v>406.512</v>
      </c>
      <c r="N8">
        <v>86.16</v>
      </c>
      <c r="O8">
        <v>258.48</v>
      </c>
      <c r="P8">
        <v>148.03199999999899</v>
      </c>
      <c r="Q8">
        <v>36.4151611760538</v>
      </c>
    </row>
    <row r="9" spans="1:17" x14ac:dyDescent="0.25">
      <c r="A9">
        <v>10008</v>
      </c>
      <c r="B9" s="1">
        <v>45665</v>
      </c>
      <c r="C9">
        <v>3615</v>
      </c>
      <c r="D9" t="s">
        <v>23</v>
      </c>
      <c r="E9" t="s">
        <v>24</v>
      </c>
      <c r="F9" t="s">
        <v>19</v>
      </c>
      <c r="G9" t="s">
        <v>30</v>
      </c>
      <c r="H9">
        <v>1</v>
      </c>
      <c r="I9">
        <v>73.819999999999993</v>
      </c>
      <c r="J9">
        <v>0</v>
      </c>
      <c r="K9">
        <v>73.819999999999993</v>
      </c>
      <c r="L9">
        <v>0</v>
      </c>
      <c r="M9">
        <v>73.819999999999993</v>
      </c>
      <c r="N9">
        <v>31.93</v>
      </c>
      <c r="O9">
        <v>31.93</v>
      </c>
      <c r="P9">
        <v>41.889999999999901</v>
      </c>
      <c r="Q9">
        <v>56.746139257653702</v>
      </c>
    </row>
    <row r="10" spans="1:17" x14ac:dyDescent="0.25">
      <c r="A10">
        <v>10009</v>
      </c>
      <c r="B10" s="1">
        <v>45666</v>
      </c>
      <c r="C10">
        <v>3348</v>
      </c>
      <c r="D10" t="s">
        <v>23</v>
      </c>
      <c r="E10" t="s">
        <v>18</v>
      </c>
      <c r="F10" t="s">
        <v>26</v>
      </c>
      <c r="G10" t="s">
        <v>27</v>
      </c>
      <c r="H10">
        <v>6</v>
      </c>
      <c r="I10">
        <v>194.84</v>
      </c>
      <c r="J10">
        <v>15</v>
      </c>
      <c r="K10">
        <v>1169.04</v>
      </c>
      <c r="L10">
        <v>175.35599999999999</v>
      </c>
      <c r="M10">
        <v>993.68399999999997</v>
      </c>
      <c r="N10">
        <v>129.72999999999999</v>
      </c>
      <c r="O10">
        <v>778.37999999999897</v>
      </c>
      <c r="P10">
        <v>215.304</v>
      </c>
      <c r="Q10">
        <v>21.667250353231001</v>
      </c>
    </row>
    <row r="11" spans="1:17" x14ac:dyDescent="0.25">
      <c r="A11">
        <v>10010</v>
      </c>
      <c r="B11" s="1">
        <v>45667</v>
      </c>
      <c r="C11">
        <v>3185</v>
      </c>
      <c r="D11" t="s">
        <v>21</v>
      </c>
      <c r="E11" t="s">
        <v>24</v>
      </c>
      <c r="F11" t="s">
        <v>19</v>
      </c>
      <c r="G11" t="s">
        <v>31</v>
      </c>
      <c r="H11">
        <v>8</v>
      </c>
      <c r="I11">
        <v>187.47</v>
      </c>
      <c r="J11">
        <v>5</v>
      </c>
      <c r="K11">
        <v>1499.76</v>
      </c>
      <c r="L11">
        <v>74.988</v>
      </c>
      <c r="M11">
        <v>1424.7719999999999</v>
      </c>
      <c r="N11">
        <v>117.06</v>
      </c>
      <c r="O11">
        <v>936.48</v>
      </c>
      <c r="P11">
        <v>488.29199999999901</v>
      </c>
      <c r="Q11">
        <v>34.2715887173526</v>
      </c>
    </row>
    <row r="12" spans="1:17" x14ac:dyDescent="0.25">
      <c r="A12">
        <v>10011</v>
      </c>
      <c r="B12" s="1">
        <v>45668</v>
      </c>
      <c r="C12">
        <v>3398</v>
      </c>
      <c r="D12" t="s">
        <v>17</v>
      </c>
      <c r="E12" t="s">
        <v>24</v>
      </c>
      <c r="F12" t="s">
        <v>25</v>
      </c>
      <c r="G12" t="s">
        <v>30</v>
      </c>
      <c r="H12">
        <v>6</v>
      </c>
      <c r="I12">
        <v>184.63</v>
      </c>
      <c r="J12">
        <v>20</v>
      </c>
      <c r="K12">
        <v>1107.78</v>
      </c>
      <c r="L12">
        <v>221.55600000000001</v>
      </c>
      <c r="M12">
        <v>886.22399999999902</v>
      </c>
      <c r="N12">
        <v>114.62</v>
      </c>
      <c r="O12">
        <v>687.72</v>
      </c>
      <c r="P12">
        <v>198.503999999999</v>
      </c>
      <c r="Q12">
        <v>22.398851757569101</v>
      </c>
    </row>
    <row r="13" spans="1:17" x14ac:dyDescent="0.25">
      <c r="A13">
        <v>10012</v>
      </c>
      <c r="B13" s="1">
        <v>45669</v>
      </c>
      <c r="C13">
        <v>3535</v>
      </c>
      <c r="D13" t="s">
        <v>29</v>
      </c>
      <c r="E13" t="s">
        <v>24</v>
      </c>
      <c r="F13" t="s">
        <v>25</v>
      </c>
      <c r="G13" t="s">
        <v>31</v>
      </c>
      <c r="H13">
        <v>3</v>
      </c>
      <c r="I13">
        <v>55.41</v>
      </c>
      <c r="J13">
        <v>15</v>
      </c>
      <c r="K13">
        <v>166.23</v>
      </c>
      <c r="L13">
        <v>24.9344999999999</v>
      </c>
      <c r="M13">
        <v>141.2955</v>
      </c>
      <c r="N13">
        <v>140.11000000000001</v>
      </c>
      <c r="O13">
        <v>420.33</v>
      </c>
      <c r="P13">
        <v>-279.03449999999998</v>
      </c>
      <c r="Q13">
        <v>-197.48293470068</v>
      </c>
    </row>
    <row r="14" spans="1:17" x14ac:dyDescent="0.25">
      <c r="A14">
        <v>10013</v>
      </c>
      <c r="B14" s="1">
        <v>45670</v>
      </c>
      <c r="C14">
        <v>3584</v>
      </c>
      <c r="D14" t="s">
        <v>21</v>
      </c>
      <c r="E14" t="s">
        <v>18</v>
      </c>
      <c r="F14" t="s">
        <v>25</v>
      </c>
      <c r="G14" t="s">
        <v>32</v>
      </c>
      <c r="H14">
        <v>2</v>
      </c>
      <c r="I14">
        <v>19.73</v>
      </c>
      <c r="J14">
        <v>20</v>
      </c>
      <c r="K14">
        <v>39.46</v>
      </c>
      <c r="L14">
        <v>7.8920000000000003</v>
      </c>
      <c r="M14">
        <v>31.568000000000001</v>
      </c>
      <c r="N14">
        <v>62.34</v>
      </c>
      <c r="O14">
        <v>124.68</v>
      </c>
      <c r="P14">
        <v>-93.111999999999995</v>
      </c>
      <c r="Q14">
        <v>-294.95691839837798</v>
      </c>
    </row>
    <row r="15" spans="1:17" x14ac:dyDescent="0.25">
      <c r="A15">
        <v>10014</v>
      </c>
      <c r="B15" s="1">
        <v>45671</v>
      </c>
      <c r="C15">
        <v>3345</v>
      </c>
      <c r="D15" t="s">
        <v>29</v>
      </c>
      <c r="E15" t="s">
        <v>18</v>
      </c>
      <c r="F15" t="s">
        <v>33</v>
      </c>
      <c r="G15" t="s">
        <v>28</v>
      </c>
      <c r="H15">
        <v>8</v>
      </c>
      <c r="I15">
        <v>55.59</v>
      </c>
      <c r="J15">
        <v>0</v>
      </c>
      <c r="K15">
        <v>444.72</v>
      </c>
      <c r="L15">
        <v>0</v>
      </c>
      <c r="M15">
        <v>444.72</v>
      </c>
      <c r="N15">
        <v>66.17</v>
      </c>
      <c r="O15">
        <v>529.36</v>
      </c>
      <c r="P15">
        <v>-84.639999999999901</v>
      </c>
      <c r="Q15">
        <v>-19.032200035977599</v>
      </c>
    </row>
    <row r="16" spans="1:17" x14ac:dyDescent="0.25">
      <c r="A16">
        <v>10015</v>
      </c>
      <c r="B16" s="1">
        <v>45672</v>
      </c>
      <c r="C16">
        <v>3366</v>
      </c>
      <c r="D16" t="s">
        <v>17</v>
      </c>
      <c r="E16" t="s">
        <v>18</v>
      </c>
      <c r="F16" t="s">
        <v>25</v>
      </c>
      <c r="G16" t="s">
        <v>31</v>
      </c>
      <c r="H16">
        <v>7</v>
      </c>
      <c r="I16">
        <v>138.84</v>
      </c>
      <c r="J16">
        <v>20</v>
      </c>
      <c r="K16">
        <v>971.88</v>
      </c>
      <c r="L16">
        <v>194.376</v>
      </c>
      <c r="M16">
        <v>777.50400000000002</v>
      </c>
      <c r="N16">
        <v>73.31</v>
      </c>
      <c r="O16">
        <v>513.16999999999996</v>
      </c>
      <c r="P16">
        <v>264.33399999999898</v>
      </c>
      <c r="Q16">
        <v>33.997767214059301</v>
      </c>
    </row>
    <row r="17" spans="1:17" x14ac:dyDescent="0.25">
      <c r="A17">
        <v>10016</v>
      </c>
      <c r="B17" s="1">
        <v>45673</v>
      </c>
      <c r="C17">
        <v>3554</v>
      </c>
      <c r="D17" t="s">
        <v>21</v>
      </c>
      <c r="E17" t="s">
        <v>24</v>
      </c>
      <c r="F17" t="s">
        <v>26</v>
      </c>
      <c r="G17" t="s">
        <v>28</v>
      </c>
      <c r="H17">
        <v>5</v>
      </c>
      <c r="I17">
        <v>93.91</v>
      </c>
      <c r="J17">
        <v>10</v>
      </c>
      <c r="K17">
        <v>469.54999999999899</v>
      </c>
      <c r="L17">
        <v>46.954999999999998</v>
      </c>
      <c r="M17">
        <v>422.594999999999</v>
      </c>
      <c r="N17">
        <v>55.71</v>
      </c>
      <c r="O17">
        <v>278.55</v>
      </c>
      <c r="P17">
        <v>144.04499999999899</v>
      </c>
      <c r="Q17">
        <v>34.085826855499903</v>
      </c>
    </row>
    <row r="18" spans="1:17" x14ac:dyDescent="0.25">
      <c r="A18">
        <v>10017</v>
      </c>
      <c r="B18" s="1">
        <v>45674</v>
      </c>
      <c r="C18">
        <v>3730</v>
      </c>
      <c r="D18" t="s">
        <v>29</v>
      </c>
      <c r="E18" t="s">
        <v>24</v>
      </c>
      <c r="F18" t="s">
        <v>33</v>
      </c>
      <c r="G18" t="s">
        <v>31</v>
      </c>
      <c r="H18">
        <v>7</v>
      </c>
      <c r="I18">
        <v>148.75</v>
      </c>
      <c r="J18">
        <v>15</v>
      </c>
      <c r="K18">
        <v>1041.25</v>
      </c>
      <c r="L18">
        <v>156.1875</v>
      </c>
      <c r="M18">
        <v>885.0625</v>
      </c>
      <c r="N18">
        <v>79.13</v>
      </c>
      <c r="O18">
        <v>553.91</v>
      </c>
      <c r="P18">
        <v>331.15249999999997</v>
      </c>
      <c r="Q18">
        <v>37.415719228867999</v>
      </c>
    </row>
    <row r="19" spans="1:17" x14ac:dyDescent="0.25">
      <c r="A19">
        <v>10018</v>
      </c>
      <c r="B19" s="1">
        <v>45675</v>
      </c>
      <c r="C19">
        <v>3904</v>
      </c>
      <c r="D19" t="s">
        <v>23</v>
      </c>
      <c r="E19" t="s">
        <v>24</v>
      </c>
      <c r="F19" t="s">
        <v>26</v>
      </c>
      <c r="G19" t="s">
        <v>22</v>
      </c>
      <c r="H19">
        <v>4</v>
      </c>
      <c r="I19">
        <v>54.52</v>
      </c>
      <c r="J19">
        <v>20</v>
      </c>
      <c r="K19">
        <v>218.08</v>
      </c>
      <c r="L19">
        <v>43.616</v>
      </c>
      <c r="M19">
        <v>174.464</v>
      </c>
      <c r="N19">
        <v>95.8</v>
      </c>
      <c r="O19">
        <v>383.2</v>
      </c>
      <c r="P19">
        <v>-208.73599999999999</v>
      </c>
      <c r="Q19">
        <v>-119.64416727806299</v>
      </c>
    </row>
    <row r="20" spans="1:17" x14ac:dyDescent="0.25">
      <c r="A20">
        <v>10019</v>
      </c>
      <c r="B20" s="1">
        <v>45676</v>
      </c>
      <c r="C20">
        <v>3167</v>
      </c>
      <c r="D20" t="s">
        <v>29</v>
      </c>
      <c r="E20" t="s">
        <v>24</v>
      </c>
      <c r="F20" t="s">
        <v>26</v>
      </c>
      <c r="G20" t="s">
        <v>32</v>
      </c>
      <c r="H20">
        <v>8</v>
      </c>
      <c r="I20">
        <v>14.55</v>
      </c>
      <c r="J20">
        <v>5</v>
      </c>
      <c r="K20">
        <v>116.4</v>
      </c>
      <c r="L20">
        <v>5.82</v>
      </c>
      <c r="M20">
        <v>110.58</v>
      </c>
      <c r="N20">
        <v>90.18</v>
      </c>
      <c r="O20">
        <v>721.44</v>
      </c>
      <c r="P20">
        <v>-610.86</v>
      </c>
      <c r="Q20">
        <v>-552.41454150841003</v>
      </c>
    </row>
    <row r="21" spans="1:17" x14ac:dyDescent="0.25">
      <c r="A21">
        <v>10020</v>
      </c>
      <c r="B21" s="1">
        <v>45677</v>
      </c>
      <c r="C21">
        <v>3998</v>
      </c>
      <c r="D21" t="s">
        <v>29</v>
      </c>
      <c r="E21" t="s">
        <v>24</v>
      </c>
      <c r="F21" t="s">
        <v>19</v>
      </c>
      <c r="G21" t="s">
        <v>30</v>
      </c>
      <c r="H21">
        <v>3</v>
      </c>
      <c r="I21">
        <v>26.48</v>
      </c>
      <c r="J21">
        <v>15</v>
      </c>
      <c r="K21">
        <v>79.44</v>
      </c>
      <c r="L21">
        <v>11.915999999999899</v>
      </c>
      <c r="M21">
        <v>67.524000000000001</v>
      </c>
      <c r="N21">
        <v>30.58</v>
      </c>
      <c r="O21">
        <v>91.74</v>
      </c>
      <c r="P21">
        <v>-24.215999999999902</v>
      </c>
      <c r="Q21">
        <v>-35.862804336235897</v>
      </c>
    </row>
    <row r="22" spans="1:17" x14ac:dyDescent="0.25">
      <c r="A22">
        <v>10021</v>
      </c>
      <c r="B22" s="1">
        <v>45678</v>
      </c>
      <c r="C22">
        <v>3068</v>
      </c>
      <c r="D22" t="s">
        <v>29</v>
      </c>
      <c r="E22" t="s">
        <v>24</v>
      </c>
      <c r="F22" t="s">
        <v>25</v>
      </c>
      <c r="G22" t="s">
        <v>22</v>
      </c>
      <c r="H22">
        <v>7</v>
      </c>
      <c r="I22">
        <v>16.45</v>
      </c>
      <c r="J22">
        <v>0</v>
      </c>
      <c r="K22">
        <v>115.149999999999</v>
      </c>
      <c r="L22">
        <v>0</v>
      </c>
      <c r="M22">
        <v>115.149999999999</v>
      </c>
      <c r="N22">
        <v>110.15</v>
      </c>
      <c r="O22">
        <v>771.05</v>
      </c>
      <c r="P22">
        <v>-655.9</v>
      </c>
      <c r="Q22">
        <v>-569.60486322188399</v>
      </c>
    </row>
    <row r="23" spans="1:17" x14ac:dyDescent="0.25">
      <c r="A23">
        <v>10022</v>
      </c>
      <c r="B23" s="1">
        <v>45679</v>
      </c>
      <c r="C23">
        <v>3432</v>
      </c>
      <c r="D23" t="s">
        <v>21</v>
      </c>
      <c r="E23" t="s">
        <v>24</v>
      </c>
      <c r="F23" t="s">
        <v>25</v>
      </c>
      <c r="G23" t="s">
        <v>27</v>
      </c>
      <c r="H23">
        <v>3</v>
      </c>
      <c r="I23">
        <v>136.85</v>
      </c>
      <c r="J23">
        <v>10</v>
      </c>
      <c r="K23">
        <v>410.54999999999899</v>
      </c>
      <c r="L23">
        <v>41.055</v>
      </c>
      <c r="M23">
        <v>369.49499999999898</v>
      </c>
      <c r="N23">
        <v>15.24</v>
      </c>
      <c r="O23">
        <v>45.72</v>
      </c>
      <c r="P23">
        <v>323.77499999999998</v>
      </c>
      <c r="Q23">
        <v>87.626354889781993</v>
      </c>
    </row>
    <row r="24" spans="1:17" x14ac:dyDescent="0.25">
      <c r="A24">
        <v>10023</v>
      </c>
      <c r="B24" s="1">
        <v>45680</v>
      </c>
      <c r="C24">
        <v>3895</v>
      </c>
      <c r="D24" t="s">
        <v>21</v>
      </c>
      <c r="E24" t="s">
        <v>18</v>
      </c>
      <c r="F24" t="s">
        <v>33</v>
      </c>
      <c r="G24" t="s">
        <v>27</v>
      </c>
      <c r="H24">
        <v>7</v>
      </c>
      <c r="I24">
        <v>43.39</v>
      </c>
      <c r="J24">
        <v>10</v>
      </c>
      <c r="K24">
        <v>303.73</v>
      </c>
      <c r="L24">
        <v>30.373000000000001</v>
      </c>
      <c r="M24">
        <v>273.35700000000003</v>
      </c>
      <c r="N24">
        <v>35.049999999999997</v>
      </c>
      <c r="O24">
        <v>245.349999999999</v>
      </c>
      <c r="P24">
        <v>28.007000000000001</v>
      </c>
      <c r="Q24">
        <v>10.245576297662</v>
      </c>
    </row>
    <row r="25" spans="1:17" x14ac:dyDescent="0.25">
      <c r="A25">
        <v>10024</v>
      </c>
      <c r="B25" s="1">
        <v>45681</v>
      </c>
      <c r="C25">
        <v>3391</v>
      </c>
      <c r="D25" t="s">
        <v>21</v>
      </c>
      <c r="E25" t="s">
        <v>18</v>
      </c>
      <c r="F25" t="s">
        <v>25</v>
      </c>
      <c r="G25" t="s">
        <v>31</v>
      </c>
      <c r="H25">
        <v>6</v>
      </c>
      <c r="I25">
        <v>213.46</v>
      </c>
      <c r="J25">
        <v>0</v>
      </c>
      <c r="K25">
        <v>1280.76</v>
      </c>
      <c r="L25">
        <v>0</v>
      </c>
      <c r="M25">
        <v>1280.76</v>
      </c>
      <c r="N25">
        <v>62.52</v>
      </c>
      <c r="O25">
        <v>375.12</v>
      </c>
      <c r="P25">
        <v>905.64</v>
      </c>
      <c r="Q25">
        <v>70.711140260470302</v>
      </c>
    </row>
    <row r="26" spans="1:17" x14ac:dyDescent="0.25">
      <c r="A26">
        <v>10025</v>
      </c>
      <c r="B26" s="1">
        <v>45682</v>
      </c>
      <c r="C26">
        <v>3940</v>
      </c>
      <c r="D26" t="s">
        <v>23</v>
      </c>
      <c r="E26" t="s">
        <v>18</v>
      </c>
      <c r="F26" t="s">
        <v>19</v>
      </c>
      <c r="G26" t="s">
        <v>20</v>
      </c>
      <c r="H26">
        <v>3</v>
      </c>
      <c r="I26">
        <v>133.80000000000001</v>
      </c>
      <c r="J26">
        <v>15</v>
      </c>
      <c r="K26">
        <v>401.4</v>
      </c>
      <c r="L26">
        <v>60.21</v>
      </c>
      <c r="M26">
        <v>341.19</v>
      </c>
      <c r="N26">
        <v>124.88</v>
      </c>
      <c r="O26">
        <v>374.64</v>
      </c>
      <c r="P26">
        <v>-33.449999999999903</v>
      </c>
      <c r="Q26">
        <v>-9.8039215686274304</v>
      </c>
    </row>
    <row r="27" spans="1:17" x14ac:dyDescent="0.25">
      <c r="A27">
        <v>10026</v>
      </c>
      <c r="B27" s="1">
        <v>45683</v>
      </c>
      <c r="C27">
        <v>3512</v>
      </c>
      <c r="D27" t="s">
        <v>21</v>
      </c>
      <c r="E27" t="s">
        <v>24</v>
      </c>
      <c r="F27" t="s">
        <v>26</v>
      </c>
      <c r="G27" t="s">
        <v>27</v>
      </c>
      <c r="H27">
        <v>5</v>
      </c>
      <c r="I27">
        <v>124.51</v>
      </c>
      <c r="J27">
        <v>0</v>
      </c>
      <c r="K27">
        <v>622.54999999999995</v>
      </c>
      <c r="L27">
        <v>0</v>
      </c>
      <c r="M27">
        <v>622.54999999999995</v>
      </c>
      <c r="N27">
        <v>41.55</v>
      </c>
      <c r="O27">
        <v>207.75</v>
      </c>
      <c r="P27">
        <v>414.8</v>
      </c>
      <c r="Q27">
        <v>66.62918641073</v>
      </c>
    </row>
    <row r="28" spans="1:17" x14ac:dyDescent="0.25">
      <c r="A28">
        <v>10027</v>
      </c>
      <c r="B28" s="1">
        <v>45684</v>
      </c>
      <c r="C28">
        <v>3075</v>
      </c>
      <c r="D28" t="s">
        <v>23</v>
      </c>
      <c r="E28" t="s">
        <v>24</v>
      </c>
      <c r="F28" t="s">
        <v>33</v>
      </c>
      <c r="G28" t="s">
        <v>31</v>
      </c>
      <c r="H28">
        <v>8</v>
      </c>
      <c r="I28">
        <v>19.399999999999999</v>
      </c>
      <c r="J28">
        <v>0</v>
      </c>
      <c r="K28">
        <v>155.19999999999999</v>
      </c>
      <c r="L28">
        <v>0</v>
      </c>
      <c r="M28">
        <v>155.19999999999999</v>
      </c>
      <c r="N28">
        <v>124.98</v>
      </c>
      <c r="O28">
        <v>999.84</v>
      </c>
      <c r="P28">
        <v>-844.64</v>
      </c>
      <c r="Q28">
        <v>-544.22680412371096</v>
      </c>
    </row>
    <row r="29" spans="1:17" x14ac:dyDescent="0.25">
      <c r="A29">
        <v>10028</v>
      </c>
      <c r="B29" s="1">
        <v>45685</v>
      </c>
      <c r="C29">
        <v>3823</v>
      </c>
      <c r="D29" t="s">
        <v>29</v>
      </c>
      <c r="E29" t="s">
        <v>18</v>
      </c>
      <c r="F29" t="s">
        <v>33</v>
      </c>
      <c r="G29" t="s">
        <v>27</v>
      </c>
      <c r="H29">
        <v>4</v>
      </c>
      <c r="I29">
        <v>223.15</v>
      </c>
      <c r="J29">
        <v>10</v>
      </c>
      <c r="K29">
        <v>892.6</v>
      </c>
      <c r="L29">
        <v>89.26</v>
      </c>
      <c r="M29">
        <v>803.34</v>
      </c>
      <c r="N29">
        <v>89.19</v>
      </c>
      <c r="O29">
        <v>356.76</v>
      </c>
      <c r="P29">
        <v>446.58</v>
      </c>
      <c r="Q29">
        <v>55.590410038090901</v>
      </c>
    </row>
    <row r="30" spans="1:17" x14ac:dyDescent="0.25">
      <c r="A30">
        <v>10029</v>
      </c>
      <c r="B30" s="1">
        <v>45686</v>
      </c>
      <c r="C30">
        <v>3250</v>
      </c>
      <c r="D30" t="s">
        <v>17</v>
      </c>
      <c r="E30" t="s">
        <v>24</v>
      </c>
      <c r="F30" t="s">
        <v>26</v>
      </c>
      <c r="G30" t="s">
        <v>32</v>
      </c>
      <c r="H30">
        <v>4</v>
      </c>
      <c r="I30">
        <v>96.56</v>
      </c>
      <c r="J30">
        <v>5</v>
      </c>
      <c r="K30">
        <v>386.24</v>
      </c>
      <c r="L30">
        <v>19.312000000000001</v>
      </c>
      <c r="M30">
        <v>366.928</v>
      </c>
      <c r="N30">
        <v>106.37</v>
      </c>
      <c r="O30">
        <v>425.48</v>
      </c>
      <c r="P30">
        <v>-58.552</v>
      </c>
      <c r="Q30">
        <v>-15.957354031308601</v>
      </c>
    </row>
    <row r="31" spans="1:17" x14ac:dyDescent="0.25">
      <c r="A31">
        <v>10030</v>
      </c>
      <c r="B31" s="1">
        <v>45687</v>
      </c>
      <c r="C31">
        <v>3006</v>
      </c>
      <c r="D31" t="s">
        <v>17</v>
      </c>
      <c r="E31" t="s">
        <v>24</v>
      </c>
      <c r="F31" t="s">
        <v>25</v>
      </c>
      <c r="G31" t="s">
        <v>28</v>
      </c>
      <c r="H31">
        <v>8</v>
      </c>
      <c r="I31">
        <v>242.64</v>
      </c>
      <c r="J31">
        <v>15</v>
      </c>
      <c r="K31">
        <v>1941.12</v>
      </c>
      <c r="L31">
        <v>291.16799999999898</v>
      </c>
      <c r="M31">
        <v>1649.952</v>
      </c>
      <c r="N31">
        <v>47.97</v>
      </c>
      <c r="O31">
        <v>383.76</v>
      </c>
      <c r="P31">
        <v>1266.192</v>
      </c>
      <c r="Q31">
        <v>76.741141560481694</v>
      </c>
    </row>
    <row r="32" spans="1:17" x14ac:dyDescent="0.25">
      <c r="A32">
        <v>10031</v>
      </c>
      <c r="B32" s="1">
        <v>45688</v>
      </c>
      <c r="C32">
        <v>3787</v>
      </c>
      <c r="D32" t="s">
        <v>17</v>
      </c>
      <c r="E32" t="s">
        <v>24</v>
      </c>
      <c r="F32" t="s">
        <v>33</v>
      </c>
      <c r="G32" t="s">
        <v>30</v>
      </c>
      <c r="H32">
        <v>7</v>
      </c>
      <c r="I32">
        <v>67.45</v>
      </c>
      <c r="J32">
        <v>0</v>
      </c>
      <c r="K32">
        <v>472.15</v>
      </c>
      <c r="L32">
        <v>0</v>
      </c>
      <c r="M32">
        <v>472.15</v>
      </c>
      <c r="N32">
        <v>145.80000000000001</v>
      </c>
      <c r="O32">
        <v>1020.6</v>
      </c>
      <c r="P32">
        <v>-548.45000000000005</v>
      </c>
      <c r="Q32">
        <v>-116.16011860637499</v>
      </c>
    </row>
    <row r="33" spans="1:17" x14ac:dyDescent="0.25">
      <c r="A33">
        <v>10032</v>
      </c>
      <c r="B33" s="1">
        <v>45689</v>
      </c>
      <c r="C33">
        <v>3444</v>
      </c>
      <c r="D33" t="s">
        <v>29</v>
      </c>
      <c r="E33" t="s">
        <v>18</v>
      </c>
      <c r="F33" t="s">
        <v>19</v>
      </c>
      <c r="G33" t="s">
        <v>20</v>
      </c>
      <c r="H33">
        <v>1</v>
      </c>
      <c r="I33">
        <v>220.99</v>
      </c>
      <c r="J33">
        <v>10</v>
      </c>
      <c r="K33">
        <v>220.99</v>
      </c>
      <c r="L33">
        <v>22.099</v>
      </c>
      <c r="M33">
        <v>198.89099999999999</v>
      </c>
      <c r="N33">
        <v>99.39</v>
      </c>
      <c r="O33">
        <v>99.39</v>
      </c>
      <c r="P33">
        <v>99.501000000000005</v>
      </c>
      <c r="Q33">
        <v>50.027904731737401</v>
      </c>
    </row>
    <row r="34" spans="1:17" x14ac:dyDescent="0.25">
      <c r="A34">
        <v>10033</v>
      </c>
      <c r="B34" s="1">
        <v>45690</v>
      </c>
      <c r="C34">
        <v>3044</v>
      </c>
      <c r="D34" t="s">
        <v>23</v>
      </c>
      <c r="E34" t="s">
        <v>24</v>
      </c>
      <c r="F34" t="s">
        <v>26</v>
      </c>
      <c r="G34" t="s">
        <v>27</v>
      </c>
      <c r="H34">
        <v>1</v>
      </c>
      <c r="I34">
        <v>16.010000000000002</v>
      </c>
      <c r="J34">
        <v>10</v>
      </c>
      <c r="K34">
        <v>16.010000000000002</v>
      </c>
      <c r="L34">
        <v>1.601</v>
      </c>
      <c r="M34">
        <v>14.409000000000001</v>
      </c>
      <c r="N34">
        <v>16.670000000000002</v>
      </c>
      <c r="O34">
        <v>16.670000000000002</v>
      </c>
      <c r="P34">
        <v>-2.2610000000000001</v>
      </c>
      <c r="Q34">
        <v>-15.691581650357399</v>
      </c>
    </row>
    <row r="35" spans="1:17" x14ac:dyDescent="0.25">
      <c r="A35">
        <v>10034</v>
      </c>
      <c r="B35" s="1">
        <v>45691</v>
      </c>
      <c r="C35">
        <v>3703</v>
      </c>
      <c r="D35" t="s">
        <v>23</v>
      </c>
      <c r="E35" t="s">
        <v>18</v>
      </c>
      <c r="F35" t="s">
        <v>19</v>
      </c>
      <c r="G35" t="s">
        <v>20</v>
      </c>
      <c r="H35">
        <v>8</v>
      </c>
      <c r="I35">
        <v>150.65</v>
      </c>
      <c r="J35">
        <v>10</v>
      </c>
      <c r="K35">
        <v>1205.2</v>
      </c>
      <c r="L35">
        <v>120.52</v>
      </c>
      <c r="M35">
        <v>1084.68</v>
      </c>
      <c r="N35">
        <v>121.92</v>
      </c>
      <c r="O35">
        <v>975.36</v>
      </c>
      <c r="P35">
        <v>109.32</v>
      </c>
      <c r="Q35">
        <v>10.078548512003501</v>
      </c>
    </row>
    <row r="36" spans="1:17" x14ac:dyDescent="0.25">
      <c r="A36">
        <v>10035</v>
      </c>
      <c r="B36" s="1">
        <v>45692</v>
      </c>
      <c r="C36">
        <v>3325</v>
      </c>
      <c r="D36" t="s">
        <v>23</v>
      </c>
      <c r="E36" t="s">
        <v>18</v>
      </c>
      <c r="F36" t="s">
        <v>25</v>
      </c>
      <c r="G36" t="s">
        <v>27</v>
      </c>
      <c r="H36">
        <v>3</v>
      </c>
      <c r="I36">
        <v>64.239999999999995</v>
      </c>
      <c r="J36">
        <v>15</v>
      </c>
      <c r="K36">
        <v>192.719999999999</v>
      </c>
      <c r="L36">
        <v>28.907999999999902</v>
      </c>
      <c r="M36">
        <v>163.81199999999899</v>
      </c>
      <c r="N36">
        <v>72.760000000000005</v>
      </c>
      <c r="O36">
        <v>218.28</v>
      </c>
      <c r="P36">
        <v>-54.468000000000004</v>
      </c>
      <c r="Q36">
        <v>-33.250311332503102</v>
      </c>
    </row>
    <row r="37" spans="1:17" x14ac:dyDescent="0.25">
      <c r="A37">
        <v>10036</v>
      </c>
      <c r="B37" s="1">
        <v>45693</v>
      </c>
      <c r="C37">
        <v>3824</v>
      </c>
      <c r="D37" t="s">
        <v>23</v>
      </c>
      <c r="E37" t="s">
        <v>18</v>
      </c>
      <c r="F37" t="s">
        <v>33</v>
      </c>
      <c r="G37" t="s">
        <v>20</v>
      </c>
      <c r="H37">
        <v>7</v>
      </c>
      <c r="I37">
        <v>241.53</v>
      </c>
      <c r="J37">
        <v>0</v>
      </c>
      <c r="K37">
        <v>1690.71</v>
      </c>
      <c r="L37">
        <v>0</v>
      </c>
      <c r="M37">
        <v>1690.71</v>
      </c>
      <c r="N37">
        <v>126.04</v>
      </c>
      <c r="O37">
        <v>882.28</v>
      </c>
      <c r="P37">
        <v>808.43</v>
      </c>
      <c r="Q37">
        <v>47.816006293214002</v>
      </c>
    </row>
    <row r="38" spans="1:17" x14ac:dyDescent="0.25">
      <c r="A38">
        <v>10037</v>
      </c>
      <c r="B38" s="1">
        <v>45694</v>
      </c>
      <c r="C38">
        <v>3152</v>
      </c>
      <c r="D38" t="s">
        <v>21</v>
      </c>
      <c r="E38" t="s">
        <v>24</v>
      </c>
      <c r="F38" t="s">
        <v>33</v>
      </c>
      <c r="G38" t="s">
        <v>30</v>
      </c>
      <c r="H38">
        <v>1</v>
      </c>
      <c r="I38">
        <v>172.55</v>
      </c>
      <c r="J38">
        <v>0</v>
      </c>
      <c r="K38">
        <v>172.55</v>
      </c>
      <c r="L38">
        <v>0</v>
      </c>
      <c r="M38">
        <v>172.55</v>
      </c>
      <c r="N38">
        <v>106.58</v>
      </c>
      <c r="O38">
        <v>106.58</v>
      </c>
      <c r="P38">
        <v>65.97</v>
      </c>
      <c r="Q38">
        <v>38.232396406838603</v>
      </c>
    </row>
    <row r="39" spans="1:17" x14ac:dyDescent="0.25">
      <c r="A39">
        <v>10038</v>
      </c>
      <c r="B39" s="1">
        <v>45695</v>
      </c>
      <c r="C39">
        <v>3183</v>
      </c>
      <c r="D39" t="s">
        <v>17</v>
      </c>
      <c r="E39" t="s">
        <v>18</v>
      </c>
      <c r="F39" t="s">
        <v>33</v>
      </c>
      <c r="G39" t="s">
        <v>22</v>
      </c>
      <c r="H39">
        <v>1</v>
      </c>
      <c r="I39">
        <v>95.42</v>
      </c>
      <c r="J39">
        <v>0</v>
      </c>
      <c r="K39">
        <v>95.42</v>
      </c>
      <c r="L39">
        <v>0</v>
      </c>
      <c r="M39">
        <v>95.42</v>
      </c>
      <c r="N39">
        <v>145.1</v>
      </c>
      <c r="O39">
        <v>145.1</v>
      </c>
      <c r="P39">
        <v>-49.6799999999999</v>
      </c>
      <c r="Q39">
        <v>-52.064556696709197</v>
      </c>
    </row>
    <row r="40" spans="1:17" x14ac:dyDescent="0.25">
      <c r="A40">
        <v>10039</v>
      </c>
      <c r="B40" s="1">
        <v>45696</v>
      </c>
      <c r="C40">
        <v>3949</v>
      </c>
      <c r="D40" t="s">
        <v>23</v>
      </c>
      <c r="E40" t="s">
        <v>24</v>
      </c>
      <c r="F40" t="s">
        <v>25</v>
      </c>
      <c r="G40" t="s">
        <v>27</v>
      </c>
      <c r="H40">
        <v>5</v>
      </c>
      <c r="I40">
        <v>49.03</v>
      </c>
      <c r="J40">
        <v>5</v>
      </c>
      <c r="K40">
        <v>245.15</v>
      </c>
      <c r="L40">
        <v>12.2575</v>
      </c>
      <c r="M40">
        <v>232.89250000000001</v>
      </c>
      <c r="N40">
        <v>136.83000000000001</v>
      </c>
      <c r="O40">
        <v>684.15</v>
      </c>
      <c r="P40">
        <v>-451.25749999999999</v>
      </c>
      <c r="Q40">
        <v>-193.762143478214</v>
      </c>
    </row>
    <row r="41" spans="1:17" x14ac:dyDescent="0.25">
      <c r="A41">
        <v>10040</v>
      </c>
      <c r="B41" s="1">
        <v>45697</v>
      </c>
      <c r="C41">
        <v>3112</v>
      </c>
      <c r="D41" t="s">
        <v>21</v>
      </c>
      <c r="E41" t="s">
        <v>24</v>
      </c>
      <c r="F41" t="s">
        <v>19</v>
      </c>
      <c r="G41" t="s">
        <v>22</v>
      </c>
      <c r="H41">
        <v>8</v>
      </c>
      <c r="I41">
        <v>237.55</v>
      </c>
      <c r="J41">
        <v>0</v>
      </c>
      <c r="K41">
        <v>1900.4</v>
      </c>
      <c r="L41">
        <v>0</v>
      </c>
      <c r="M41">
        <v>1900.4</v>
      </c>
      <c r="N41">
        <v>101.64</v>
      </c>
      <c r="O41">
        <v>813.12</v>
      </c>
      <c r="P41">
        <v>1087.28</v>
      </c>
      <c r="Q41">
        <v>57.213218269837903</v>
      </c>
    </row>
    <row r="42" spans="1:17" x14ac:dyDescent="0.25">
      <c r="A42">
        <v>10041</v>
      </c>
      <c r="B42" s="1">
        <v>45698</v>
      </c>
      <c r="C42">
        <v>3763</v>
      </c>
      <c r="D42" t="s">
        <v>29</v>
      </c>
      <c r="E42" t="s">
        <v>24</v>
      </c>
      <c r="F42" t="s">
        <v>19</v>
      </c>
      <c r="G42" t="s">
        <v>30</v>
      </c>
      <c r="H42">
        <v>9</v>
      </c>
      <c r="I42">
        <v>124.49</v>
      </c>
      <c r="J42">
        <v>15</v>
      </c>
      <c r="K42">
        <v>1120.4099999999901</v>
      </c>
      <c r="L42">
        <v>168.061499999999</v>
      </c>
      <c r="M42">
        <v>952.34849999999904</v>
      </c>
      <c r="N42">
        <v>115.99</v>
      </c>
      <c r="O42">
        <v>1043.9099999999901</v>
      </c>
      <c r="P42">
        <v>-91.561499999999995</v>
      </c>
      <c r="Q42">
        <v>-9.6142851067650099</v>
      </c>
    </row>
    <row r="43" spans="1:17" x14ac:dyDescent="0.25">
      <c r="A43">
        <v>10042</v>
      </c>
      <c r="B43" s="1">
        <v>45699</v>
      </c>
      <c r="C43">
        <v>3189</v>
      </c>
      <c r="D43" t="s">
        <v>29</v>
      </c>
      <c r="E43" t="s">
        <v>18</v>
      </c>
      <c r="F43" t="s">
        <v>25</v>
      </c>
      <c r="G43" t="s">
        <v>20</v>
      </c>
      <c r="H43">
        <v>1</v>
      </c>
      <c r="I43">
        <v>235.01</v>
      </c>
      <c r="J43">
        <v>20</v>
      </c>
      <c r="K43">
        <v>235.01</v>
      </c>
      <c r="L43">
        <v>47.002000000000002</v>
      </c>
      <c r="M43">
        <v>188.00799999999899</v>
      </c>
      <c r="N43">
        <v>13.71</v>
      </c>
      <c r="O43">
        <v>13.71</v>
      </c>
      <c r="P43">
        <v>174.29799999999901</v>
      </c>
      <c r="Q43">
        <v>92.707757116718398</v>
      </c>
    </row>
    <row r="44" spans="1:17" x14ac:dyDescent="0.25">
      <c r="A44">
        <v>10043</v>
      </c>
      <c r="B44" s="1">
        <v>45700</v>
      </c>
      <c r="C44">
        <v>3960</v>
      </c>
      <c r="D44" t="s">
        <v>23</v>
      </c>
      <c r="E44" t="s">
        <v>24</v>
      </c>
      <c r="F44" t="s">
        <v>26</v>
      </c>
      <c r="G44" t="s">
        <v>32</v>
      </c>
      <c r="H44">
        <v>3</v>
      </c>
      <c r="I44">
        <v>17.63</v>
      </c>
      <c r="J44">
        <v>0</v>
      </c>
      <c r="K44">
        <v>52.89</v>
      </c>
      <c r="L44">
        <v>0</v>
      </c>
      <c r="M44">
        <v>52.89</v>
      </c>
      <c r="N44">
        <v>120.26</v>
      </c>
      <c r="O44">
        <v>360.78</v>
      </c>
      <c r="P44">
        <v>-307.89</v>
      </c>
      <c r="Q44">
        <v>-582.13272830402695</v>
      </c>
    </row>
    <row r="45" spans="1:17" x14ac:dyDescent="0.25">
      <c r="A45">
        <v>10044</v>
      </c>
      <c r="B45" s="1">
        <v>45701</v>
      </c>
      <c r="C45">
        <v>3290</v>
      </c>
      <c r="D45" t="s">
        <v>17</v>
      </c>
      <c r="E45" t="s">
        <v>18</v>
      </c>
      <c r="F45" t="s">
        <v>25</v>
      </c>
      <c r="G45" t="s">
        <v>30</v>
      </c>
      <c r="H45">
        <v>2</v>
      </c>
      <c r="I45">
        <v>181.06</v>
      </c>
      <c r="J45">
        <v>15</v>
      </c>
      <c r="K45">
        <v>362.12</v>
      </c>
      <c r="L45">
        <v>54.317999999999998</v>
      </c>
      <c r="M45">
        <v>307.80200000000002</v>
      </c>
      <c r="N45">
        <v>111.61</v>
      </c>
      <c r="O45">
        <v>223.22</v>
      </c>
      <c r="P45">
        <v>84.581999999999994</v>
      </c>
      <c r="Q45">
        <v>27.479353610437801</v>
      </c>
    </row>
    <row r="46" spans="1:17" x14ac:dyDescent="0.25">
      <c r="A46">
        <v>10045</v>
      </c>
      <c r="B46" s="1">
        <v>45702</v>
      </c>
      <c r="C46">
        <v>3312</v>
      </c>
      <c r="D46" t="s">
        <v>29</v>
      </c>
      <c r="E46" t="s">
        <v>24</v>
      </c>
      <c r="F46" t="s">
        <v>25</v>
      </c>
      <c r="G46" t="s">
        <v>28</v>
      </c>
      <c r="H46">
        <v>5</v>
      </c>
      <c r="I46">
        <v>158.69</v>
      </c>
      <c r="J46">
        <v>0</v>
      </c>
      <c r="K46">
        <v>793.45</v>
      </c>
      <c r="L46">
        <v>0</v>
      </c>
      <c r="M46">
        <v>793.45</v>
      </c>
      <c r="N46">
        <v>141.78</v>
      </c>
      <c r="O46">
        <v>708.9</v>
      </c>
      <c r="P46">
        <v>84.55</v>
      </c>
      <c r="Q46">
        <v>10.655995966979599</v>
      </c>
    </row>
    <row r="47" spans="1:17" x14ac:dyDescent="0.25">
      <c r="A47">
        <v>10046</v>
      </c>
      <c r="B47" s="1">
        <v>45703</v>
      </c>
      <c r="C47">
        <v>3201</v>
      </c>
      <c r="D47" t="s">
        <v>21</v>
      </c>
      <c r="E47" t="s">
        <v>18</v>
      </c>
      <c r="F47" t="s">
        <v>33</v>
      </c>
      <c r="G47" t="s">
        <v>32</v>
      </c>
      <c r="H47">
        <v>6</v>
      </c>
      <c r="I47">
        <v>137.56</v>
      </c>
      <c r="J47">
        <v>15</v>
      </c>
      <c r="K47">
        <v>825.36</v>
      </c>
      <c r="L47">
        <v>123.804</v>
      </c>
      <c r="M47">
        <v>701.55600000000004</v>
      </c>
      <c r="N47">
        <v>114.49</v>
      </c>
      <c r="O47">
        <v>686.93999999999903</v>
      </c>
      <c r="P47">
        <v>14.616000000000099</v>
      </c>
      <c r="Q47">
        <v>2.0833689684073802</v>
      </c>
    </row>
    <row r="48" spans="1:17" x14ac:dyDescent="0.25">
      <c r="A48">
        <v>10047</v>
      </c>
      <c r="B48" s="1">
        <v>45704</v>
      </c>
      <c r="C48">
        <v>3462</v>
      </c>
      <c r="D48" t="s">
        <v>17</v>
      </c>
      <c r="E48" t="s">
        <v>18</v>
      </c>
      <c r="F48" t="s">
        <v>33</v>
      </c>
      <c r="G48" t="s">
        <v>28</v>
      </c>
      <c r="H48">
        <v>2</v>
      </c>
      <c r="I48">
        <v>118.3</v>
      </c>
      <c r="J48">
        <v>10</v>
      </c>
      <c r="K48">
        <v>236.6</v>
      </c>
      <c r="L48">
        <v>23.66</v>
      </c>
      <c r="M48">
        <v>212.94</v>
      </c>
      <c r="N48">
        <v>94.46</v>
      </c>
      <c r="O48">
        <v>188.92</v>
      </c>
      <c r="P48">
        <v>24.02</v>
      </c>
      <c r="Q48">
        <v>11.2801728186343</v>
      </c>
    </row>
    <row r="49" spans="1:17" x14ac:dyDescent="0.25">
      <c r="A49">
        <v>10048</v>
      </c>
      <c r="B49" s="1">
        <v>45705</v>
      </c>
      <c r="C49">
        <v>3550</v>
      </c>
      <c r="D49" t="s">
        <v>23</v>
      </c>
      <c r="E49" t="s">
        <v>24</v>
      </c>
      <c r="F49" t="s">
        <v>33</v>
      </c>
      <c r="G49" t="s">
        <v>20</v>
      </c>
      <c r="H49">
        <v>1</v>
      </c>
      <c r="I49">
        <v>245.1</v>
      </c>
      <c r="J49">
        <v>10</v>
      </c>
      <c r="K49">
        <v>245.1</v>
      </c>
      <c r="L49">
        <v>24.51</v>
      </c>
      <c r="M49">
        <v>220.59</v>
      </c>
      <c r="N49">
        <v>117.87</v>
      </c>
      <c r="O49">
        <v>117.87</v>
      </c>
      <c r="P49">
        <v>102.72</v>
      </c>
      <c r="Q49">
        <v>46.566027471780203</v>
      </c>
    </row>
    <row r="50" spans="1:17" x14ac:dyDescent="0.25">
      <c r="A50">
        <v>10049</v>
      </c>
      <c r="B50" s="1">
        <v>45706</v>
      </c>
      <c r="C50">
        <v>3772</v>
      </c>
      <c r="D50" t="s">
        <v>29</v>
      </c>
      <c r="E50" t="s">
        <v>24</v>
      </c>
      <c r="F50" t="s">
        <v>19</v>
      </c>
      <c r="G50" t="s">
        <v>27</v>
      </c>
      <c r="H50">
        <v>6</v>
      </c>
      <c r="I50">
        <v>225.09</v>
      </c>
      <c r="J50">
        <v>5</v>
      </c>
      <c r="K50">
        <v>1350.54</v>
      </c>
      <c r="L50">
        <v>67.527000000000001</v>
      </c>
      <c r="M50">
        <v>1283.0129999999999</v>
      </c>
      <c r="N50">
        <v>92.35</v>
      </c>
      <c r="O50">
        <v>554.099999999999</v>
      </c>
      <c r="P50">
        <v>728.91300000000001</v>
      </c>
      <c r="Q50">
        <v>56.812596598787302</v>
      </c>
    </row>
    <row r="51" spans="1:17" x14ac:dyDescent="0.25">
      <c r="A51">
        <v>10050</v>
      </c>
      <c r="B51" s="1">
        <v>45707</v>
      </c>
      <c r="C51">
        <v>3494</v>
      </c>
      <c r="D51" t="s">
        <v>23</v>
      </c>
      <c r="E51" t="s">
        <v>18</v>
      </c>
      <c r="F51" t="s">
        <v>33</v>
      </c>
      <c r="G51" t="s">
        <v>32</v>
      </c>
      <c r="H51">
        <v>1</v>
      </c>
      <c r="I51">
        <v>57.3</v>
      </c>
      <c r="J51">
        <v>5</v>
      </c>
      <c r="K51">
        <v>57.3</v>
      </c>
      <c r="L51">
        <v>2.8650000000000002</v>
      </c>
      <c r="M51">
        <v>54.434999999999903</v>
      </c>
      <c r="N51">
        <v>74.989999999999995</v>
      </c>
      <c r="O51">
        <v>74.989999999999995</v>
      </c>
      <c r="P51">
        <v>-20.555</v>
      </c>
      <c r="Q51">
        <v>-37.760631946357996</v>
      </c>
    </row>
    <row r="52" spans="1:17" x14ac:dyDescent="0.25">
      <c r="A52">
        <v>10051</v>
      </c>
      <c r="B52" s="1">
        <v>45708</v>
      </c>
      <c r="C52">
        <v>3137</v>
      </c>
      <c r="D52" t="s">
        <v>21</v>
      </c>
      <c r="E52" t="s">
        <v>24</v>
      </c>
      <c r="F52" t="s">
        <v>33</v>
      </c>
      <c r="G52" t="s">
        <v>28</v>
      </c>
      <c r="H52">
        <v>7</v>
      </c>
      <c r="I52">
        <v>169.17</v>
      </c>
      <c r="J52">
        <v>5</v>
      </c>
      <c r="K52">
        <v>1184.1899999999901</v>
      </c>
      <c r="L52">
        <v>59.209499999999899</v>
      </c>
      <c r="M52">
        <v>1124.9804999999999</v>
      </c>
      <c r="N52">
        <v>147.07</v>
      </c>
      <c r="O52">
        <v>1029.49</v>
      </c>
      <c r="P52">
        <v>95.490499999999798</v>
      </c>
      <c r="Q52">
        <v>8.4881915730983692</v>
      </c>
    </row>
    <row r="53" spans="1:17" x14ac:dyDescent="0.25">
      <c r="A53">
        <v>10052</v>
      </c>
      <c r="B53" s="1">
        <v>45709</v>
      </c>
      <c r="C53">
        <v>3855</v>
      </c>
      <c r="D53" t="s">
        <v>29</v>
      </c>
      <c r="E53" t="s">
        <v>24</v>
      </c>
      <c r="F53" t="s">
        <v>26</v>
      </c>
      <c r="G53" t="s">
        <v>30</v>
      </c>
      <c r="H53">
        <v>7</v>
      </c>
      <c r="I53">
        <v>235.75</v>
      </c>
      <c r="J53">
        <v>10</v>
      </c>
      <c r="K53">
        <v>1650.25</v>
      </c>
      <c r="L53">
        <v>165.02500000000001</v>
      </c>
      <c r="M53">
        <v>1485.2249999999999</v>
      </c>
      <c r="N53">
        <v>76.66</v>
      </c>
      <c r="O53">
        <v>536.62</v>
      </c>
      <c r="P53">
        <v>948.604999999999</v>
      </c>
      <c r="Q53">
        <v>63.869447390125998</v>
      </c>
    </row>
    <row r="54" spans="1:17" x14ac:dyDescent="0.25">
      <c r="A54">
        <v>10053</v>
      </c>
      <c r="B54" s="1">
        <v>45710</v>
      </c>
      <c r="C54">
        <v>3483</v>
      </c>
      <c r="D54" t="s">
        <v>17</v>
      </c>
      <c r="E54" t="s">
        <v>18</v>
      </c>
      <c r="F54" t="s">
        <v>26</v>
      </c>
      <c r="G54" t="s">
        <v>27</v>
      </c>
      <c r="H54">
        <v>6</v>
      </c>
      <c r="I54">
        <v>104.09</v>
      </c>
      <c r="J54">
        <v>20</v>
      </c>
      <c r="K54">
        <v>624.54</v>
      </c>
      <c r="L54">
        <v>124.908</v>
      </c>
      <c r="M54">
        <v>499.63199999999898</v>
      </c>
      <c r="N54">
        <v>19.649999999999999</v>
      </c>
      <c r="O54">
        <v>117.899999999999</v>
      </c>
      <c r="P54">
        <v>381.731999999999</v>
      </c>
      <c r="Q54">
        <v>76.402632337400306</v>
      </c>
    </row>
    <row r="55" spans="1:17" x14ac:dyDescent="0.25">
      <c r="A55">
        <v>10054</v>
      </c>
      <c r="B55" s="1">
        <v>45711</v>
      </c>
      <c r="C55">
        <v>3195</v>
      </c>
      <c r="D55" t="s">
        <v>23</v>
      </c>
      <c r="E55" t="s">
        <v>24</v>
      </c>
      <c r="F55" t="s">
        <v>19</v>
      </c>
      <c r="G55" t="s">
        <v>30</v>
      </c>
      <c r="H55">
        <v>7</v>
      </c>
      <c r="I55">
        <v>133.44</v>
      </c>
      <c r="J55">
        <v>20</v>
      </c>
      <c r="K55">
        <v>934.07999999999902</v>
      </c>
      <c r="L55">
        <v>186.816</v>
      </c>
      <c r="M55">
        <v>747.26399999999899</v>
      </c>
      <c r="N55">
        <v>11.62</v>
      </c>
      <c r="O55">
        <v>81.339999999999904</v>
      </c>
      <c r="P55">
        <v>665.92399999999895</v>
      </c>
      <c r="Q55">
        <v>89.114958033573103</v>
      </c>
    </row>
    <row r="56" spans="1:17" x14ac:dyDescent="0.25">
      <c r="A56">
        <v>10055</v>
      </c>
      <c r="B56" s="1">
        <v>45712</v>
      </c>
      <c r="C56">
        <v>3072</v>
      </c>
      <c r="D56" t="s">
        <v>17</v>
      </c>
      <c r="E56" t="s">
        <v>24</v>
      </c>
      <c r="F56" t="s">
        <v>26</v>
      </c>
      <c r="G56" t="s">
        <v>31</v>
      </c>
      <c r="H56">
        <v>2</v>
      </c>
      <c r="I56">
        <v>147.02000000000001</v>
      </c>
      <c r="J56">
        <v>15</v>
      </c>
      <c r="K56">
        <v>294.04000000000002</v>
      </c>
      <c r="L56">
        <v>44.106000000000002</v>
      </c>
      <c r="M56">
        <v>249.934</v>
      </c>
      <c r="N56">
        <v>58.49</v>
      </c>
      <c r="O56">
        <v>116.98</v>
      </c>
      <c r="P56">
        <v>132.95400000000001</v>
      </c>
      <c r="Q56">
        <v>53.195643649923497</v>
      </c>
    </row>
    <row r="57" spans="1:17" x14ac:dyDescent="0.25">
      <c r="A57">
        <v>10056</v>
      </c>
      <c r="B57" s="1">
        <v>45713</v>
      </c>
      <c r="C57">
        <v>3851</v>
      </c>
      <c r="D57" t="s">
        <v>23</v>
      </c>
      <c r="E57" t="s">
        <v>24</v>
      </c>
      <c r="F57" t="s">
        <v>19</v>
      </c>
      <c r="G57" t="s">
        <v>28</v>
      </c>
      <c r="H57">
        <v>9</v>
      </c>
      <c r="I57">
        <v>230.04</v>
      </c>
      <c r="J57">
        <v>10</v>
      </c>
      <c r="K57">
        <v>2070.36</v>
      </c>
      <c r="L57">
        <v>207.036</v>
      </c>
      <c r="M57">
        <v>1863.3240000000001</v>
      </c>
      <c r="N57">
        <v>71.16</v>
      </c>
      <c r="O57">
        <v>640.43999999999903</v>
      </c>
      <c r="P57">
        <v>1222.884</v>
      </c>
      <c r="Q57">
        <v>65.629165942154899</v>
      </c>
    </row>
    <row r="58" spans="1:17" x14ac:dyDescent="0.25">
      <c r="A58">
        <v>10057</v>
      </c>
      <c r="B58" s="1">
        <v>45714</v>
      </c>
      <c r="C58">
        <v>3944</v>
      </c>
      <c r="D58" t="s">
        <v>23</v>
      </c>
      <c r="E58" t="s">
        <v>18</v>
      </c>
      <c r="F58" t="s">
        <v>25</v>
      </c>
      <c r="G58" t="s">
        <v>28</v>
      </c>
      <c r="H58">
        <v>6</v>
      </c>
      <c r="I58">
        <v>69.81</v>
      </c>
      <c r="J58">
        <v>5</v>
      </c>
      <c r="K58">
        <v>418.86</v>
      </c>
      <c r="L58">
        <v>20.943000000000001</v>
      </c>
      <c r="M58">
        <v>397.91699999999997</v>
      </c>
      <c r="N58">
        <v>85.66</v>
      </c>
      <c r="O58">
        <v>513.96</v>
      </c>
      <c r="P58">
        <v>-116.04300000000001</v>
      </c>
      <c r="Q58">
        <v>-29.162614314040301</v>
      </c>
    </row>
    <row r="59" spans="1:17" x14ac:dyDescent="0.25">
      <c r="A59">
        <v>10058</v>
      </c>
      <c r="B59" s="1">
        <v>45715</v>
      </c>
      <c r="C59">
        <v>3257</v>
      </c>
      <c r="D59" t="s">
        <v>21</v>
      </c>
      <c r="E59" t="s">
        <v>24</v>
      </c>
      <c r="F59" t="s">
        <v>26</v>
      </c>
      <c r="G59" t="s">
        <v>28</v>
      </c>
      <c r="H59">
        <v>8</v>
      </c>
      <c r="I59">
        <v>183.72</v>
      </c>
      <c r="J59">
        <v>0</v>
      </c>
      <c r="K59">
        <v>1469.76</v>
      </c>
      <c r="L59">
        <v>0</v>
      </c>
      <c r="M59">
        <v>1469.76</v>
      </c>
      <c r="N59">
        <v>15.1</v>
      </c>
      <c r="O59">
        <v>120.8</v>
      </c>
      <c r="P59">
        <v>1348.96</v>
      </c>
      <c r="Q59">
        <v>91.780971042891295</v>
      </c>
    </row>
    <row r="60" spans="1:17" x14ac:dyDescent="0.25">
      <c r="A60">
        <v>10059</v>
      </c>
      <c r="B60" s="1">
        <v>45716</v>
      </c>
      <c r="C60">
        <v>3704</v>
      </c>
      <c r="D60" t="s">
        <v>17</v>
      </c>
      <c r="E60" t="s">
        <v>18</v>
      </c>
      <c r="F60" t="s">
        <v>26</v>
      </c>
      <c r="G60" t="s">
        <v>27</v>
      </c>
      <c r="H60">
        <v>4</v>
      </c>
      <c r="I60">
        <v>84.23</v>
      </c>
      <c r="J60">
        <v>0</v>
      </c>
      <c r="K60">
        <v>336.92</v>
      </c>
      <c r="L60">
        <v>0</v>
      </c>
      <c r="M60">
        <v>336.92</v>
      </c>
      <c r="N60">
        <v>84.81</v>
      </c>
      <c r="O60">
        <v>339.24</v>
      </c>
      <c r="P60">
        <v>-2.3199999999999901</v>
      </c>
      <c r="Q60">
        <v>-0.68859076338596503</v>
      </c>
    </row>
    <row r="61" spans="1:17" x14ac:dyDescent="0.25">
      <c r="A61">
        <v>10060</v>
      </c>
      <c r="B61" s="1">
        <v>45717</v>
      </c>
      <c r="C61">
        <v>3400</v>
      </c>
      <c r="D61" t="s">
        <v>21</v>
      </c>
      <c r="E61" t="s">
        <v>18</v>
      </c>
      <c r="F61" t="s">
        <v>26</v>
      </c>
      <c r="G61" t="s">
        <v>20</v>
      </c>
      <c r="H61">
        <v>6</v>
      </c>
      <c r="I61">
        <v>135.97</v>
      </c>
      <c r="J61">
        <v>15</v>
      </c>
      <c r="K61">
        <v>815.81999999999903</v>
      </c>
      <c r="L61">
        <v>122.372999999999</v>
      </c>
      <c r="M61">
        <v>693.44699999999898</v>
      </c>
      <c r="N61">
        <v>143.99</v>
      </c>
      <c r="O61">
        <v>863.94</v>
      </c>
      <c r="P61">
        <v>-170.49299999999999</v>
      </c>
      <c r="Q61">
        <v>-24.586305802750601</v>
      </c>
    </row>
    <row r="62" spans="1:17" x14ac:dyDescent="0.25">
      <c r="A62">
        <v>10061</v>
      </c>
      <c r="B62" s="1">
        <v>45718</v>
      </c>
      <c r="C62">
        <v>3374</v>
      </c>
      <c r="D62" t="s">
        <v>21</v>
      </c>
      <c r="E62" t="s">
        <v>24</v>
      </c>
      <c r="F62" t="s">
        <v>26</v>
      </c>
      <c r="G62" t="s">
        <v>32</v>
      </c>
      <c r="H62">
        <v>9</v>
      </c>
      <c r="I62">
        <v>171.9</v>
      </c>
      <c r="J62">
        <v>10</v>
      </c>
      <c r="K62">
        <v>1547.1</v>
      </c>
      <c r="L62">
        <v>154.71</v>
      </c>
      <c r="M62">
        <v>1392.39</v>
      </c>
      <c r="N62">
        <v>114</v>
      </c>
      <c r="O62">
        <v>1026</v>
      </c>
      <c r="P62">
        <v>366.39</v>
      </c>
      <c r="Q62">
        <v>26.313748303277102</v>
      </c>
    </row>
    <row r="63" spans="1:17" x14ac:dyDescent="0.25">
      <c r="A63">
        <v>10062</v>
      </c>
      <c r="B63" s="1">
        <v>45719</v>
      </c>
      <c r="C63">
        <v>3927</v>
      </c>
      <c r="D63" t="s">
        <v>17</v>
      </c>
      <c r="E63" t="s">
        <v>18</v>
      </c>
      <c r="F63" t="s">
        <v>33</v>
      </c>
      <c r="G63" t="s">
        <v>28</v>
      </c>
      <c r="H63">
        <v>8</v>
      </c>
      <c r="I63">
        <v>106.78</v>
      </c>
      <c r="J63">
        <v>0</v>
      </c>
      <c r="K63">
        <v>854.24</v>
      </c>
      <c r="L63">
        <v>0</v>
      </c>
      <c r="M63">
        <v>854.24</v>
      </c>
      <c r="N63">
        <v>106.99</v>
      </c>
      <c r="O63">
        <v>855.92</v>
      </c>
      <c r="P63">
        <v>-1.67999999999995</v>
      </c>
      <c r="Q63">
        <v>-0.196666042330018</v>
      </c>
    </row>
    <row r="64" spans="1:17" x14ac:dyDescent="0.25">
      <c r="A64">
        <v>10063</v>
      </c>
      <c r="B64" s="1">
        <v>45720</v>
      </c>
      <c r="C64">
        <v>3349</v>
      </c>
      <c r="D64" t="s">
        <v>23</v>
      </c>
      <c r="E64" t="s">
        <v>18</v>
      </c>
      <c r="F64" t="s">
        <v>25</v>
      </c>
      <c r="G64" t="s">
        <v>31</v>
      </c>
      <c r="H64">
        <v>1</v>
      </c>
      <c r="I64">
        <v>55.42</v>
      </c>
      <c r="J64">
        <v>15</v>
      </c>
      <c r="K64">
        <v>55.42</v>
      </c>
      <c r="L64">
        <v>8.3130000000000006</v>
      </c>
      <c r="M64">
        <v>47.106999999999999</v>
      </c>
      <c r="N64">
        <v>79.709999999999994</v>
      </c>
      <c r="O64">
        <v>79.709999999999994</v>
      </c>
      <c r="P64">
        <v>-32.602999999999902</v>
      </c>
      <c r="Q64">
        <v>-69.2105207294032</v>
      </c>
    </row>
    <row r="65" spans="1:17" x14ac:dyDescent="0.25">
      <c r="A65">
        <v>10064</v>
      </c>
      <c r="B65" s="1">
        <v>45721</v>
      </c>
      <c r="C65">
        <v>3940</v>
      </c>
      <c r="D65" t="s">
        <v>23</v>
      </c>
      <c r="E65" t="s">
        <v>24</v>
      </c>
      <c r="F65" t="s">
        <v>33</v>
      </c>
      <c r="G65" t="s">
        <v>30</v>
      </c>
      <c r="H65">
        <v>6</v>
      </c>
      <c r="I65">
        <v>69.5</v>
      </c>
      <c r="J65">
        <v>0</v>
      </c>
      <c r="K65">
        <v>417</v>
      </c>
      <c r="L65">
        <v>0</v>
      </c>
      <c r="M65">
        <v>417</v>
      </c>
      <c r="N65">
        <v>133.22999999999999</v>
      </c>
      <c r="O65">
        <v>799.37999999999897</v>
      </c>
      <c r="P65">
        <v>-382.37999999999897</v>
      </c>
      <c r="Q65">
        <v>-91.697841726618606</v>
      </c>
    </row>
    <row r="66" spans="1:17" x14ac:dyDescent="0.25">
      <c r="A66">
        <v>10065</v>
      </c>
      <c r="B66" s="1">
        <v>45722</v>
      </c>
      <c r="C66">
        <v>3604</v>
      </c>
      <c r="D66" t="s">
        <v>21</v>
      </c>
      <c r="E66" t="s">
        <v>24</v>
      </c>
      <c r="F66" t="s">
        <v>33</v>
      </c>
      <c r="G66" t="s">
        <v>20</v>
      </c>
      <c r="H66">
        <v>1</v>
      </c>
      <c r="I66">
        <v>170.57</v>
      </c>
      <c r="J66">
        <v>10</v>
      </c>
      <c r="K66">
        <v>170.57</v>
      </c>
      <c r="L66">
        <v>17.056999999999999</v>
      </c>
      <c r="M66">
        <v>153.51300000000001</v>
      </c>
      <c r="N66">
        <v>18.18</v>
      </c>
      <c r="O66">
        <v>18.18</v>
      </c>
      <c r="P66">
        <v>135.333</v>
      </c>
      <c r="Q66">
        <v>88.157354751714806</v>
      </c>
    </row>
    <row r="67" spans="1:17" x14ac:dyDescent="0.25">
      <c r="A67">
        <v>10066</v>
      </c>
      <c r="B67" s="1">
        <v>45723</v>
      </c>
      <c r="C67">
        <v>3764</v>
      </c>
      <c r="D67" t="s">
        <v>23</v>
      </c>
      <c r="E67" t="s">
        <v>24</v>
      </c>
      <c r="F67" t="s">
        <v>25</v>
      </c>
      <c r="G67" t="s">
        <v>28</v>
      </c>
      <c r="H67">
        <v>5</v>
      </c>
      <c r="I67">
        <v>27.83</v>
      </c>
      <c r="J67">
        <v>10</v>
      </c>
      <c r="K67">
        <v>139.14999999999901</v>
      </c>
      <c r="L67">
        <v>13.914999999999999</v>
      </c>
      <c r="M67">
        <v>125.234999999999</v>
      </c>
      <c r="N67">
        <v>117.73</v>
      </c>
      <c r="O67">
        <v>588.65</v>
      </c>
      <c r="P67">
        <v>-463.414999999999</v>
      </c>
      <c r="Q67">
        <v>-370.03633169641</v>
      </c>
    </row>
    <row r="68" spans="1:17" x14ac:dyDescent="0.25">
      <c r="A68">
        <v>10067</v>
      </c>
      <c r="B68" s="1">
        <v>45724</v>
      </c>
      <c r="C68">
        <v>3583</v>
      </c>
      <c r="D68" t="s">
        <v>17</v>
      </c>
      <c r="E68" t="s">
        <v>18</v>
      </c>
      <c r="F68" t="s">
        <v>33</v>
      </c>
      <c r="G68" t="s">
        <v>32</v>
      </c>
      <c r="H68">
        <v>7</v>
      </c>
      <c r="I68">
        <v>39.97</v>
      </c>
      <c r="J68">
        <v>5</v>
      </c>
      <c r="K68">
        <v>279.789999999999</v>
      </c>
      <c r="L68">
        <v>13.9895</v>
      </c>
      <c r="M68">
        <v>265.80049999999898</v>
      </c>
      <c r="N68">
        <v>108.42</v>
      </c>
      <c r="O68">
        <v>758.94</v>
      </c>
      <c r="P68">
        <v>-493.1395</v>
      </c>
      <c r="Q68">
        <v>-185.52993692637901</v>
      </c>
    </row>
    <row r="69" spans="1:17" x14ac:dyDescent="0.25">
      <c r="A69">
        <v>10068</v>
      </c>
      <c r="B69" s="1">
        <v>45725</v>
      </c>
      <c r="C69">
        <v>3279</v>
      </c>
      <c r="D69" t="s">
        <v>21</v>
      </c>
      <c r="E69" t="s">
        <v>24</v>
      </c>
      <c r="F69" t="s">
        <v>26</v>
      </c>
      <c r="G69" t="s">
        <v>32</v>
      </c>
      <c r="H69">
        <v>9</v>
      </c>
      <c r="I69">
        <v>55.79</v>
      </c>
      <c r="J69">
        <v>5</v>
      </c>
      <c r="K69">
        <v>502.11</v>
      </c>
      <c r="L69">
        <v>25.105499999999999</v>
      </c>
      <c r="M69">
        <v>477.00450000000001</v>
      </c>
      <c r="N69">
        <v>59.85</v>
      </c>
      <c r="O69">
        <v>538.65</v>
      </c>
      <c r="P69">
        <v>-61.645499999999899</v>
      </c>
      <c r="Q69">
        <v>-12.923462986198199</v>
      </c>
    </row>
    <row r="70" spans="1:17" x14ac:dyDescent="0.25">
      <c r="A70">
        <v>10069</v>
      </c>
      <c r="B70" s="1">
        <v>45726</v>
      </c>
      <c r="C70">
        <v>3522</v>
      </c>
      <c r="D70" t="s">
        <v>23</v>
      </c>
      <c r="E70" t="s">
        <v>24</v>
      </c>
      <c r="F70" t="s">
        <v>33</v>
      </c>
      <c r="G70" t="s">
        <v>31</v>
      </c>
      <c r="H70">
        <v>2</v>
      </c>
      <c r="I70">
        <v>178.92</v>
      </c>
      <c r="J70">
        <v>10</v>
      </c>
      <c r="K70">
        <v>357.84</v>
      </c>
      <c r="L70">
        <v>35.783999999999999</v>
      </c>
      <c r="M70">
        <v>322.05599999999998</v>
      </c>
      <c r="N70">
        <v>76.13</v>
      </c>
      <c r="O70">
        <v>152.26</v>
      </c>
      <c r="P70">
        <v>169.79599999999999</v>
      </c>
      <c r="Q70">
        <v>52.722507886827103</v>
      </c>
    </row>
    <row r="71" spans="1:17" x14ac:dyDescent="0.25">
      <c r="A71">
        <v>10070</v>
      </c>
      <c r="B71" s="1">
        <v>45727</v>
      </c>
      <c r="C71">
        <v>3745</v>
      </c>
      <c r="D71" t="s">
        <v>21</v>
      </c>
      <c r="E71" t="s">
        <v>18</v>
      </c>
      <c r="F71" t="s">
        <v>33</v>
      </c>
      <c r="G71" t="s">
        <v>27</v>
      </c>
      <c r="H71">
        <v>9</v>
      </c>
      <c r="I71">
        <v>165.76</v>
      </c>
      <c r="J71">
        <v>0</v>
      </c>
      <c r="K71">
        <v>1491.84</v>
      </c>
      <c r="L71">
        <v>0</v>
      </c>
      <c r="M71">
        <v>1491.84</v>
      </c>
      <c r="N71">
        <v>27.04</v>
      </c>
      <c r="O71">
        <v>243.35999999999899</v>
      </c>
      <c r="P71">
        <v>1248.48</v>
      </c>
      <c r="Q71">
        <v>83.687258687258606</v>
      </c>
    </row>
    <row r="72" spans="1:17" x14ac:dyDescent="0.25">
      <c r="A72">
        <v>10071</v>
      </c>
      <c r="B72" s="1">
        <v>45728</v>
      </c>
      <c r="C72">
        <v>3803</v>
      </c>
      <c r="D72" t="s">
        <v>29</v>
      </c>
      <c r="E72" t="s">
        <v>24</v>
      </c>
      <c r="F72" t="s">
        <v>25</v>
      </c>
      <c r="G72" t="s">
        <v>28</v>
      </c>
      <c r="H72">
        <v>6</v>
      </c>
      <c r="I72">
        <v>203.3</v>
      </c>
      <c r="J72">
        <v>15</v>
      </c>
      <c r="K72">
        <v>1219.8</v>
      </c>
      <c r="L72">
        <v>182.97</v>
      </c>
      <c r="M72">
        <v>1036.83</v>
      </c>
      <c r="N72">
        <v>5.9</v>
      </c>
      <c r="O72">
        <v>35.4</v>
      </c>
      <c r="P72">
        <v>1001.43</v>
      </c>
      <c r="Q72">
        <v>96.585746940192706</v>
      </c>
    </row>
    <row r="73" spans="1:17" x14ac:dyDescent="0.25">
      <c r="A73">
        <v>10072</v>
      </c>
      <c r="B73" s="1">
        <v>45729</v>
      </c>
      <c r="C73">
        <v>3448</v>
      </c>
      <c r="D73" t="s">
        <v>21</v>
      </c>
      <c r="E73" t="s">
        <v>18</v>
      </c>
      <c r="F73" t="s">
        <v>26</v>
      </c>
      <c r="G73" t="s">
        <v>22</v>
      </c>
      <c r="H73">
        <v>9</v>
      </c>
      <c r="I73">
        <v>236.67</v>
      </c>
      <c r="J73">
        <v>0</v>
      </c>
      <c r="K73">
        <v>2130.0299999999902</v>
      </c>
      <c r="L73">
        <v>0</v>
      </c>
      <c r="M73">
        <v>2130.0299999999902</v>
      </c>
      <c r="N73">
        <v>53.68</v>
      </c>
      <c r="O73">
        <v>483.12</v>
      </c>
      <c r="P73">
        <v>1646.9099999999901</v>
      </c>
      <c r="Q73">
        <v>77.318629315080003</v>
      </c>
    </row>
    <row r="74" spans="1:17" x14ac:dyDescent="0.25">
      <c r="A74">
        <v>10073</v>
      </c>
      <c r="B74" s="1">
        <v>45730</v>
      </c>
      <c r="C74">
        <v>3317</v>
      </c>
      <c r="D74" t="s">
        <v>21</v>
      </c>
      <c r="E74" t="s">
        <v>24</v>
      </c>
      <c r="F74" t="s">
        <v>19</v>
      </c>
      <c r="G74" t="s">
        <v>27</v>
      </c>
      <c r="H74">
        <v>2</v>
      </c>
      <c r="I74">
        <v>158.13999999999999</v>
      </c>
      <c r="J74">
        <v>10</v>
      </c>
      <c r="K74">
        <v>316.27999999999997</v>
      </c>
      <c r="L74">
        <v>31.628</v>
      </c>
      <c r="M74">
        <v>284.65199999999999</v>
      </c>
      <c r="N74">
        <v>54.02</v>
      </c>
      <c r="O74">
        <v>108.04</v>
      </c>
      <c r="P74">
        <v>176.611999999999</v>
      </c>
      <c r="Q74">
        <v>62.044882874527403</v>
      </c>
    </row>
    <row r="75" spans="1:17" x14ac:dyDescent="0.25">
      <c r="A75">
        <v>10074</v>
      </c>
      <c r="B75" s="1">
        <v>45731</v>
      </c>
      <c r="C75">
        <v>3391</v>
      </c>
      <c r="D75" t="s">
        <v>21</v>
      </c>
      <c r="E75" t="s">
        <v>18</v>
      </c>
      <c r="F75" t="s">
        <v>26</v>
      </c>
      <c r="G75" t="s">
        <v>32</v>
      </c>
      <c r="H75">
        <v>3</v>
      </c>
      <c r="I75">
        <v>201.41</v>
      </c>
      <c r="J75">
        <v>10</v>
      </c>
      <c r="K75">
        <v>604.23</v>
      </c>
      <c r="L75">
        <v>60.423000000000002</v>
      </c>
      <c r="M75">
        <v>543.80700000000002</v>
      </c>
      <c r="N75">
        <v>80.48</v>
      </c>
      <c r="O75">
        <v>241.44</v>
      </c>
      <c r="P75">
        <v>302.36700000000002</v>
      </c>
      <c r="Q75">
        <v>55.6018955254345</v>
      </c>
    </row>
    <row r="76" spans="1:17" x14ac:dyDescent="0.25">
      <c r="A76">
        <v>10075</v>
      </c>
      <c r="B76" s="1">
        <v>45732</v>
      </c>
      <c r="C76">
        <v>3151</v>
      </c>
      <c r="D76" t="s">
        <v>29</v>
      </c>
      <c r="E76" t="s">
        <v>18</v>
      </c>
      <c r="F76" t="s">
        <v>25</v>
      </c>
      <c r="G76" t="s">
        <v>20</v>
      </c>
      <c r="H76">
        <v>2</v>
      </c>
      <c r="I76">
        <v>208.14</v>
      </c>
      <c r="J76">
        <v>15</v>
      </c>
      <c r="K76">
        <v>416.28</v>
      </c>
      <c r="L76">
        <v>62.441999999999901</v>
      </c>
      <c r="M76">
        <v>353.837999999999</v>
      </c>
      <c r="N76">
        <v>55.15</v>
      </c>
      <c r="O76">
        <v>110.3</v>
      </c>
      <c r="P76">
        <v>243.53799999999899</v>
      </c>
      <c r="Q76">
        <v>68.827542547719503</v>
      </c>
    </row>
    <row r="77" spans="1:17" x14ac:dyDescent="0.25">
      <c r="A77">
        <v>10076</v>
      </c>
      <c r="B77" s="1">
        <v>45733</v>
      </c>
      <c r="C77">
        <v>3092</v>
      </c>
      <c r="D77" t="s">
        <v>17</v>
      </c>
      <c r="E77" t="s">
        <v>18</v>
      </c>
      <c r="F77" t="s">
        <v>25</v>
      </c>
      <c r="G77" t="s">
        <v>30</v>
      </c>
      <c r="H77">
        <v>4</v>
      </c>
      <c r="I77">
        <v>145.72</v>
      </c>
      <c r="J77">
        <v>20</v>
      </c>
      <c r="K77">
        <v>582.88</v>
      </c>
      <c r="L77">
        <v>116.57599999999999</v>
      </c>
      <c r="M77">
        <v>466.30399999999997</v>
      </c>
      <c r="N77">
        <v>133.94999999999999</v>
      </c>
      <c r="O77">
        <v>535.79999999999995</v>
      </c>
      <c r="P77">
        <v>-69.495999999999896</v>
      </c>
      <c r="Q77">
        <v>-14.903582212462201</v>
      </c>
    </row>
    <row r="78" spans="1:17" x14ac:dyDescent="0.25">
      <c r="A78">
        <v>10077</v>
      </c>
      <c r="B78" s="1">
        <v>45734</v>
      </c>
      <c r="C78">
        <v>3759</v>
      </c>
      <c r="D78" t="s">
        <v>21</v>
      </c>
      <c r="E78" t="s">
        <v>24</v>
      </c>
      <c r="F78" t="s">
        <v>26</v>
      </c>
      <c r="G78" t="s">
        <v>20</v>
      </c>
      <c r="H78">
        <v>8</v>
      </c>
      <c r="I78">
        <v>103.05</v>
      </c>
      <c r="J78">
        <v>20</v>
      </c>
      <c r="K78">
        <v>824.4</v>
      </c>
      <c r="L78">
        <v>164.88</v>
      </c>
      <c r="M78">
        <v>659.52</v>
      </c>
      <c r="N78">
        <v>25.93</v>
      </c>
      <c r="O78">
        <v>207.44</v>
      </c>
      <c r="P78">
        <v>452.08</v>
      </c>
      <c r="Q78">
        <v>68.546821931101405</v>
      </c>
    </row>
    <row r="79" spans="1:17" x14ac:dyDescent="0.25">
      <c r="A79">
        <v>10078</v>
      </c>
      <c r="B79" s="1">
        <v>45735</v>
      </c>
      <c r="C79">
        <v>3224</v>
      </c>
      <c r="D79" t="s">
        <v>21</v>
      </c>
      <c r="E79" t="s">
        <v>24</v>
      </c>
      <c r="F79" t="s">
        <v>19</v>
      </c>
      <c r="G79" t="s">
        <v>31</v>
      </c>
      <c r="H79">
        <v>4</v>
      </c>
      <c r="I79">
        <v>205.71</v>
      </c>
      <c r="J79">
        <v>5</v>
      </c>
      <c r="K79">
        <v>822.84</v>
      </c>
      <c r="L79">
        <v>41.142000000000003</v>
      </c>
      <c r="M79">
        <v>781.69799999999998</v>
      </c>
      <c r="N79">
        <v>124.47</v>
      </c>
      <c r="O79">
        <v>497.88</v>
      </c>
      <c r="P79">
        <v>283.81799999999998</v>
      </c>
      <c r="Q79">
        <v>36.307883607224198</v>
      </c>
    </row>
    <row r="80" spans="1:17" x14ac:dyDescent="0.25">
      <c r="A80">
        <v>10079</v>
      </c>
      <c r="B80" s="1">
        <v>45736</v>
      </c>
      <c r="C80">
        <v>3661</v>
      </c>
      <c r="D80" t="s">
        <v>29</v>
      </c>
      <c r="E80" t="s">
        <v>24</v>
      </c>
      <c r="F80" t="s">
        <v>33</v>
      </c>
      <c r="G80" t="s">
        <v>22</v>
      </c>
      <c r="H80">
        <v>5</v>
      </c>
      <c r="I80">
        <v>93.31</v>
      </c>
      <c r="J80">
        <v>0</v>
      </c>
      <c r="K80">
        <v>466.55</v>
      </c>
      <c r="L80">
        <v>0</v>
      </c>
      <c r="M80">
        <v>466.55</v>
      </c>
      <c r="N80">
        <v>83.93</v>
      </c>
      <c r="O80">
        <v>419.65</v>
      </c>
      <c r="P80">
        <v>46.899999999999899</v>
      </c>
      <c r="Q80">
        <v>10.052513128281999</v>
      </c>
    </row>
    <row r="81" spans="1:17" x14ac:dyDescent="0.25">
      <c r="A81">
        <v>10080</v>
      </c>
      <c r="B81" s="1">
        <v>45737</v>
      </c>
      <c r="C81">
        <v>3356</v>
      </c>
      <c r="D81" t="s">
        <v>29</v>
      </c>
      <c r="E81" t="s">
        <v>18</v>
      </c>
      <c r="F81" t="s">
        <v>33</v>
      </c>
      <c r="G81" t="s">
        <v>27</v>
      </c>
      <c r="H81">
        <v>9</v>
      </c>
      <c r="I81">
        <v>159.57</v>
      </c>
      <c r="J81">
        <v>5</v>
      </c>
      <c r="K81">
        <v>1436.1299999999901</v>
      </c>
      <c r="L81">
        <v>71.8065</v>
      </c>
      <c r="M81">
        <v>1364.3235</v>
      </c>
      <c r="N81">
        <v>37.08</v>
      </c>
      <c r="O81">
        <v>333.719999999999</v>
      </c>
      <c r="P81">
        <v>1030.6034999999999</v>
      </c>
      <c r="Q81">
        <v>75.539525633033506</v>
      </c>
    </row>
    <row r="82" spans="1:17" x14ac:dyDescent="0.25">
      <c r="A82">
        <v>10081</v>
      </c>
      <c r="B82" s="1">
        <v>45738</v>
      </c>
      <c r="C82">
        <v>3931</v>
      </c>
      <c r="D82" t="s">
        <v>17</v>
      </c>
      <c r="E82" t="s">
        <v>24</v>
      </c>
      <c r="F82" t="s">
        <v>26</v>
      </c>
      <c r="G82" t="s">
        <v>28</v>
      </c>
      <c r="H82">
        <v>9</v>
      </c>
      <c r="I82">
        <v>113.49</v>
      </c>
      <c r="J82">
        <v>20</v>
      </c>
      <c r="K82">
        <v>1021.41</v>
      </c>
      <c r="L82">
        <v>204.28200000000001</v>
      </c>
      <c r="M82">
        <v>817.12799999999902</v>
      </c>
      <c r="N82">
        <v>132.03</v>
      </c>
      <c r="O82">
        <v>1188.27</v>
      </c>
      <c r="P82">
        <v>-371.142</v>
      </c>
      <c r="Q82">
        <v>-45.420301348136398</v>
      </c>
    </row>
    <row r="83" spans="1:17" x14ac:dyDescent="0.25">
      <c r="A83">
        <v>10082</v>
      </c>
      <c r="B83" s="1">
        <v>45739</v>
      </c>
      <c r="C83">
        <v>3481</v>
      </c>
      <c r="D83" t="s">
        <v>21</v>
      </c>
      <c r="E83" t="s">
        <v>18</v>
      </c>
      <c r="F83" t="s">
        <v>33</v>
      </c>
      <c r="G83" t="s">
        <v>30</v>
      </c>
      <c r="H83">
        <v>6</v>
      </c>
      <c r="I83">
        <v>39</v>
      </c>
      <c r="J83">
        <v>0</v>
      </c>
      <c r="K83">
        <v>234</v>
      </c>
      <c r="L83">
        <v>0</v>
      </c>
      <c r="M83">
        <v>234</v>
      </c>
      <c r="N83">
        <v>85.2</v>
      </c>
      <c r="O83">
        <v>511.2</v>
      </c>
      <c r="P83">
        <v>-277.2</v>
      </c>
      <c r="Q83">
        <v>-118.461538461538</v>
      </c>
    </row>
    <row r="84" spans="1:17" x14ac:dyDescent="0.25">
      <c r="A84">
        <v>10083</v>
      </c>
      <c r="B84" s="1">
        <v>45740</v>
      </c>
      <c r="C84">
        <v>3579</v>
      </c>
      <c r="D84" t="s">
        <v>29</v>
      </c>
      <c r="E84" t="s">
        <v>24</v>
      </c>
      <c r="F84" t="s">
        <v>26</v>
      </c>
      <c r="G84" t="s">
        <v>31</v>
      </c>
      <c r="H84">
        <v>3</v>
      </c>
      <c r="I84">
        <v>34.11</v>
      </c>
      <c r="J84">
        <v>10</v>
      </c>
      <c r="K84">
        <v>102.33</v>
      </c>
      <c r="L84">
        <v>10.233000000000001</v>
      </c>
      <c r="M84">
        <v>92.096999999999994</v>
      </c>
      <c r="N84">
        <v>19.010000000000002</v>
      </c>
      <c r="O84">
        <v>57.03</v>
      </c>
      <c r="P84">
        <v>35.066999999999901</v>
      </c>
      <c r="Q84">
        <v>38.076158832535199</v>
      </c>
    </row>
    <row r="85" spans="1:17" x14ac:dyDescent="0.25">
      <c r="A85">
        <v>10084</v>
      </c>
      <c r="B85" s="1">
        <v>45741</v>
      </c>
      <c r="C85">
        <v>3891</v>
      </c>
      <c r="D85" t="s">
        <v>21</v>
      </c>
      <c r="E85" t="s">
        <v>24</v>
      </c>
      <c r="F85" t="s">
        <v>26</v>
      </c>
      <c r="G85" t="s">
        <v>20</v>
      </c>
      <c r="H85">
        <v>4</v>
      </c>
      <c r="I85">
        <v>35.19</v>
      </c>
      <c r="J85">
        <v>5</v>
      </c>
      <c r="K85">
        <v>140.76</v>
      </c>
      <c r="L85">
        <v>7.0380000000000003</v>
      </c>
      <c r="M85">
        <v>133.72199999999901</v>
      </c>
      <c r="N85">
        <v>130.66</v>
      </c>
      <c r="O85">
        <v>522.64</v>
      </c>
      <c r="P85">
        <v>-388.91800000000001</v>
      </c>
      <c r="Q85">
        <v>-290.84069936136098</v>
      </c>
    </row>
    <row r="86" spans="1:17" x14ac:dyDescent="0.25">
      <c r="A86">
        <v>10085</v>
      </c>
      <c r="B86" s="1">
        <v>45742</v>
      </c>
      <c r="C86">
        <v>3219</v>
      </c>
      <c r="D86" t="s">
        <v>23</v>
      </c>
      <c r="E86" t="s">
        <v>24</v>
      </c>
      <c r="F86" t="s">
        <v>25</v>
      </c>
      <c r="G86" t="s">
        <v>31</v>
      </c>
      <c r="H86">
        <v>3</v>
      </c>
      <c r="I86">
        <v>66.459999999999994</v>
      </c>
      <c r="J86">
        <v>20</v>
      </c>
      <c r="K86">
        <v>199.38</v>
      </c>
      <c r="L86">
        <v>39.875999999999998</v>
      </c>
      <c r="M86">
        <v>159.50399999999999</v>
      </c>
      <c r="N86">
        <v>44.51</v>
      </c>
      <c r="O86">
        <v>133.53</v>
      </c>
      <c r="P86">
        <v>25.973999999999901</v>
      </c>
      <c r="Q86">
        <v>16.284231116461001</v>
      </c>
    </row>
    <row r="87" spans="1:17" x14ac:dyDescent="0.25">
      <c r="A87">
        <v>10086</v>
      </c>
      <c r="B87" s="1">
        <v>45743</v>
      </c>
      <c r="C87">
        <v>3481</v>
      </c>
      <c r="D87" t="s">
        <v>23</v>
      </c>
      <c r="E87" t="s">
        <v>18</v>
      </c>
      <c r="F87" t="s">
        <v>33</v>
      </c>
      <c r="G87" t="s">
        <v>30</v>
      </c>
      <c r="H87">
        <v>1</v>
      </c>
      <c r="I87">
        <v>26.83</v>
      </c>
      <c r="J87">
        <v>0</v>
      </c>
      <c r="K87">
        <v>26.83</v>
      </c>
      <c r="L87">
        <v>0</v>
      </c>
      <c r="M87">
        <v>26.83</v>
      </c>
      <c r="N87">
        <v>87.88</v>
      </c>
      <c r="O87">
        <v>87.88</v>
      </c>
      <c r="P87">
        <v>-61.05</v>
      </c>
      <c r="Q87">
        <v>-227.54379426015601</v>
      </c>
    </row>
    <row r="88" spans="1:17" x14ac:dyDescent="0.25">
      <c r="A88">
        <v>10087</v>
      </c>
      <c r="B88" s="1">
        <v>45744</v>
      </c>
      <c r="C88">
        <v>3019</v>
      </c>
      <c r="D88" t="s">
        <v>23</v>
      </c>
      <c r="E88" t="s">
        <v>24</v>
      </c>
      <c r="F88" t="s">
        <v>33</v>
      </c>
      <c r="G88" t="s">
        <v>27</v>
      </c>
      <c r="H88">
        <v>8</v>
      </c>
      <c r="I88">
        <v>180.66</v>
      </c>
      <c r="J88">
        <v>10</v>
      </c>
      <c r="K88">
        <v>1445.28</v>
      </c>
      <c r="L88">
        <v>144.52799999999999</v>
      </c>
      <c r="M88">
        <v>1300.752</v>
      </c>
      <c r="N88">
        <v>103.44</v>
      </c>
      <c r="O88">
        <v>827.52</v>
      </c>
      <c r="P88">
        <v>473.231999999999</v>
      </c>
      <c r="Q88">
        <v>36.3814162884239</v>
      </c>
    </row>
    <row r="89" spans="1:17" x14ac:dyDescent="0.25">
      <c r="A89">
        <v>10088</v>
      </c>
      <c r="B89" s="1">
        <v>45745</v>
      </c>
      <c r="C89">
        <v>3923</v>
      </c>
      <c r="D89" t="s">
        <v>23</v>
      </c>
      <c r="E89" t="s">
        <v>18</v>
      </c>
      <c r="F89" t="s">
        <v>25</v>
      </c>
      <c r="G89" t="s">
        <v>31</v>
      </c>
      <c r="H89">
        <v>4</v>
      </c>
      <c r="I89">
        <v>80.98</v>
      </c>
      <c r="J89">
        <v>0</v>
      </c>
      <c r="K89">
        <v>323.92</v>
      </c>
      <c r="L89">
        <v>0</v>
      </c>
      <c r="M89">
        <v>323.92</v>
      </c>
      <c r="N89">
        <v>112.88</v>
      </c>
      <c r="O89">
        <v>451.52</v>
      </c>
      <c r="P89">
        <v>-127.599999999999</v>
      </c>
      <c r="Q89">
        <v>-39.392442578414403</v>
      </c>
    </row>
    <row r="90" spans="1:17" x14ac:dyDescent="0.25">
      <c r="A90">
        <v>10089</v>
      </c>
      <c r="B90" s="1">
        <v>45746</v>
      </c>
      <c r="C90">
        <v>3516</v>
      </c>
      <c r="D90" t="s">
        <v>21</v>
      </c>
      <c r="E90" t="s">
        <v>18</v>
      </c>
      <c r="F90" t="s">
        <v>33</v>
      </c>
      <c r="G90" t="s">
        <v>22</v>
      </c>
      <c r="H90">
        <v>5</v>
      </c>
      <c r="I90">
        <v>173.7</v>
      </c>
      <c r="J90">
        <v>0</v>
      </c>
      <c r="K90">
        <v>868.5</v>
      </c>
      <c r="L90">
        <v>0</v>
      </c>
      <c r="M90">
        <v>868.5</v>
      </c>
      <c r="N90">
        <v>108.9</v>
      </c>
      <c r="O90">
        <v>544.5</v>
      </c>
      <c r="P90">
        <v>324</v>
      </c>
      <c r="Q90">
        <v>37.305699481865197</v>
      </c>
    </row>
    <row r="91" spans="1:17" x14ac:dyDescent="0.25">
      <c r="A91">
        <v>10090</v>
      </c>
      <c r="B91" s="1">
        <v>45747</v>
      </c>
      <c r="C91">
        <v>3787</v>
      </c>
      <c r="D91" t="s">
        <v>23</v>
      </c>
      <c r="E91" t="s">
        <v>24</v>
      </c>
      <c r="F91" t="s">
        <v>26</v>
      </c>
      <c r="G91" t="s">
        <v>20</v>
      </c>
      <c r="H91">
        <v>4</v>
      </c>
      <c r="I91">
        <v>180.1</v>
      </c>
      <c r="J91">
        <v>15</v>
      </c>
      <c r="K91">
        <v>720.4</v>
      </c>
      <c r="L91">
        <v>108.05999999999899</v>
      </c>
      <c r="M91">
        <v>612.34</v>
      </c>
      <c r="N91">
        <v>125.58</v>
      </c>
      <c r="O91">
        <v>502.32</v>
      </c>
      <c r="P91">
        <v>110.02</v>
      </c>
      <c r="Q91">
        <v>17.967142437208</v>
      </c>
    </row>
    <row r="92" spans="1:17" x14ac:dyDescent="0.25">
      <c r="A92">
        <v>10091</v>
      </c>
      <c r="B92" s="1">
        <v>45748</v>
      </c>
      <c r="C92">
        <v>3033</v>
      </c>
      <c r="D92" t="s">
        <v>21</v>
      </c>
      <c r="E92" t="s">
        <v>24</v>
      </c>
      <c r="F92" t="s">
        <v>33</v>
      </c>
      <c r="G92" t="s">
        <v>28</v>
      </c>
      <c r="H92">
        <v>7</v>
      </c>
      <c r="I92">
        <v>174.32</v>
      </c>
      <c r="J92">
        <v>5</v>
      </c>
      <c r="K92">
        <v>1220.24</v>
      </c>
      <c r="L92">
        <v>61.012</v>
      </c>
      <c r="M92">
        <v>1159.2280000000001</v>
      </c>
      <c r="N92">
        <v>116.72</v>
      </c>
      <c r="O92">
        <v>817.04</v>
      </c>
      <c r="P92">
        <v>342.18799999999999</v>
      </c>
      <c r="Q92">
        <v>29.518610661578201</v>
      </c>
    </row>
    <row r="93" spans="1:17" x14ac:dyDescent="0.25">
      <c r="A93">
        <v>10092</v>
      </c>
      <c r="B93" s="1">
        <v>45749</v>
      </c>
      <c r="C93">
        <v>3123</v>
      </c>
      <c r="D93" t="s">
        <v>17</v>
      </c>
      <c r="E93" t="s">
        <v>18</v>
      </c>
      <c r="F93" t="s">
        <v>33</v>
      </c>
      <c r="G93" t="s">
        <v>32</v>
      </c>
      <c r="H93">
        <v>8</v>
      </c>
      <c r="I93">
        <v>195.37</v>
      </c>
      <c r="J93">
        <v>0</v>
      </c>
      <c r="K93">
        <v>1562.96</v>
      </c>
      <c r="L93">
        <v>0</v>
      </c>
      <c r="M93">
        <v>1562.96</v>
      </c>
      <c r="N93">
        <v>32.36</v>
      </c>
      <c r="O93">
        <v>258.88</v>
      </c>
      <c r="P93">
        <v>1304.08</v>
      </c>
      <c r="Q93">
        <v>83.436556277831798</v>
      </c>
    </row>
    <row r="94" spans="1:17" x14ac:dyDescent="0.25">
      <c r="A94">
        <v>10093</v>
      </c>
      <c r="B94" s="1">
        <v>45750</v>
      </c>
      <c r="C94">
        <v>3286</v>
      </c>
      <c r="D94" t="s">
        <v>21</v>
      </c>
      <c r="E94" t="s">
        <v>24</v>
      </c>
      <c r="F94" t="s">
        <v>26</v>
      </c>
      <c r="G94" t="s">
        <v>28</v>
      </c>
      <c r="H94">
        <v>1</v>
      </c>
      <c r="I94">
        <v>134.16</v>
      </c>
      <c r="J94">
        <v>0</v>
      </c>
      <c r="K94">
        <v>134.16</v>
      </c>
      <c r="L94">
        <v>0</v>
      </c>
      <c r="M94">
        <v>134.16</v>
      </c>
      <c r="N94">
        <v>85.78</v>
      </c>
      <c r="O94">
        <v>85.78</v>
      </c>
      <c r="P94">
        <v>48.379999999999903</v>
      </c>
      <c r="Q94">
        <v>36.061419200953999</v>
      </c>
    </row>
    <row r="95" spans="1:17" x14ac:dyDescent="0.25">
      <c r="A95">
        <v>10094</v>
      </c>
      <c r="B95" s="1">
        <v>45751</v>
      </c>
      <c r="C95">
        <v>3697</v>
      </c>
      <c r="D95" t="s">
        <v>29</v>
      </c>
      <c r="E95" t="s">
        <v>24</v>
      </c>
      <c r="F95" t="s">
        <v>33</v>
      </c>
      <c r="G95" t="s">
        <v>32</v>
      </c>
      <c r="H95">
        <v>1</v>
      </c>
      <c r="I95">
        <v>178.48</v>
      </c>
      <c r="J95">
        <v>15</v>
      </c>
      <c r="K95">
        <v>178.48</v>
      </c>
      <c r="L95">
        <v>26.771999999999998</v>
      </c>
      <c r="M95">
        <v>151.708</v>
      </c>
      <c r="N95">
        <v>76.59</v>
      </c>
      <c r="O95">
        <v>76.59</v>
      </c>
      <c r="P95">
        <v>75.117999999999995</v>
      </c>
      <c r="Q95">
        <v>49.514857489387502</v>
      </c>
    </row>
    <row r="96" spans="1:17" x14ac:dyDescent="0.25">
      <c r="A96">
        <v>10095</v>
      </c>
      <c r="B96" s="1">
        <v>45752</v>
      </c>
      <c r="C96">
        <v>3741</v>
      </c>
      <c r="D96" t="s">
        <v>23</v>
      </c>
      <c r="E96" t="s">
        <v>24</v>
      </c>
      <c r="F96" t="s">
        <v>19</v>
      </c>
      <c r="G96" t="s">
        <v>32</v>
      </c>
      <c r="H96">
        <v>7</v>
      </c>
      <c r="I96">
        <v>220.63</v>
      </c>
      <c r="J96">
        <v>20</v>
      </c>
      <c r="K96">
        <v>1544.4099999999901</v>
      </c>
      <c r="L96">
        <v>308.88200000000001</v>
      </c>
      <c r="M96">
        <v>1235.52799999999</v>
      </c>
      <c r="N96">
        <v>24.32</v>
      </c>
      <c r="O96">
        <v>170.24</v>
      </c>
      <c r="P96">
        <v>1065.28799999999</v>
      </c>
      <c r="Q96">
        <v>86.221275438516898</v>
      </c>
    </row>
    <row r="97" spans="1:17" x14ac:dyDescent="0.25">
      <c r="A97">
        <v>10096</v>
      </c>
      <c r="B97" s="1">
        <v>45753</v>
      </c>
      <c r="C97">
        <v>3841</v>
      </c>
      <c r="D97" t="s">
        <v>21</v>
      </c>
      <c r="E97" t="s">
        <v>24</v>
      </c>
      <c r="F97" t="s">
        <v>25</v>
      </c>
      <c r="G97" t="s">
        <v>20</v>
      </c>
      <c r="H97">
        <v>3</v>
      </c>
      <c r="I97">
        <v>36.07</v>
      </c>
      <c r="J97">
        <v>15</v>
      </c>
      <c r="K97">
        <v>108.21</v>
      </c>
      <c r="L97">
        <v>16.2315</v>
      </c>
      <c r="M97">
        <v>91.978499999999997</v>
      </c>
      <c r="N97">
        <v>67.83</v>
      </c>
      <c r="O97">
        <v>203.49</v>
      </c>
      <c r="P97">
        <v>-111.5115</v>
      </c>
      <c r="Q97">
        <v>-121.23648461325099</v>
      </c>
    </row>
    <row r="98" spans="1:17" x14ac:dyDescent="0.25">
      <c r="A98">
        <v>10097</v>
      </c>
      <c r="B98" s="1">
        <v>45754</v>
      </c>
      <c r="C98">
        <v>3989</v>
      </c>
      <c r="D98" t="s">
        <v>21</v>
      </c>
      <c r="E98" t="s">
        <v>18</v>
      </c>
      <c r="F98" t="s">
        <v>25</v>
      </c>
      <c r="G98" t="s">
        <v>27</v>
      </c>
      <c r="H98">
        <v>3</v>
      </c>
      <c r="I98">
        <v>76.55</v>
      </c>
      <c r="J98">
        <v>20</v>
      </c>
      <c r="K98">
        <v>229.64999999999901</v>
      </c>
      <c r="L98">
        <v>45.93</v>
      </c>
      <c r="M98">
        <v>183.719999999999</v>
      </c>
      <c r="N98">
        <v>117.62</v>
      </c>
      <c r="O98">
        <v>352.86</v>
      </c>
      <c r="P98">
        <v>-169.14</v>
      </c>
      <c r="Q98">
        <v>-92.064010450685799</v>
      </c>
    </row>
    <row r="99" spans="1:17" x14ac:dyDescent="0.25">
      <c r="A99">
        <v>10098</v>
      </c>
      <c r="B99" s="1">
        <v>45755</v>
      </c>
      <c r="C99">
        <v>3977</v>
      </c>
      <c r="D99" t="s">
        <v>23</v>
      </c>
      <c r="E99" t="s">
        <v>24</v>
      </c>
      <c r="F99" t="s">
        <v>25</v>
      </c>
      <c r="G99" t="s">
        <v>20</v>
      </c>
      <c r="H99">
        <v>2</v>
      </c>
      <c r="I99">
        <v>153.44</v>
      </c>
      <c r="J99">
        <v>10</v>
      </c>
      <c r="K99">
        <v>306.88</v>
      </c>
      <c r="L99">
        <v>30.687999999999999</v>
      </c>
      <c r="M99">
        <v>276.19200000000001</v>
      </c>
      <c r="N99">
        <v>69.459999999999994</v>
      </c>
      <c r="O99">
        <v>138.91999999999999</v>
      </c>
      <c r="P99">
        <v>137.27199999999999</v>
      </c>
      <c r="Q99">
        <v>49.701656818445102</v>
      </c>
    </row>
    <row r="100" spans="1:17" x14ac:dyDescent="0.25">
      <c r="A100">
        <v>10099</v>
      </c>
      <c r="B100" s="1">
        <v>45756</v>
      </c>
      <c r="C100">
        <v>3895</v>
      </c>
      <c r="D100" t="s">
        <v>17</v>
      </c>
      <c r="E100" t="s">
        <v>18</v>
      </c>
      <c r="F100" t="s">
        <v>19</v>
      </c>
      <c r="G100" t="s">
        <v>27</v>
      </c>
      <c r="H100">
        <v>4</v>
      </c>
      <c r="I100">
        <v>233.97</v>
      </c>
      <c r="J100">
        <v>10</v>
      </c>
      <c r="K100">
        <v>935.88</v>
      </c>
      <c r="L100">
        <v>93.587999999999994</v>
      </c>
      <c r="M100">
        <v>842.29200000000003</v>
      </c>
      <c r="N100">
        <v>61.86</v>
      </c>
      <c r="O100">
        <v>247.44</v>
      </c>
      <c r="P100">
        <v>594.85199999999998</v>
      </c>
      <c r="Q100">
        <v>70.623014346568596</v>
      </c>
    </row>
    <row r="101" spans="1:17" x14ac:dyDescent="0.25">
      <c r="A101">
        <v>10100</v>
      </c>
      <c r="B101" s="1">
        <v>45757</v>
      </c>
      <c r="C101">
        <v>3415</v>
      </c>
      <c r="D101" t="s">
        <v>17</v>
      </c>
      <c r="E101" t="s">
        <v>18</v>
      </c>
      <c r="F101" t="s">
        <v>19</v>
      </c>
      <c r="G101" t="s">
        <v>20</v>
      </c>
      <c r="H101">
        <v>4</v>
      </c>
      <c r="I101">
        <v>45.06</v>
      </c>
      <c r="J101">
        <v>5</v>
      </c>
      <c r="K101">
        <v>180.24</v>
      </c>
      <c r="L101">
        <v>9.0120000000000005</v>
      </c>
      <c r="M101">
        <v>171.22800000000001</v>
      </c>
      <c r="N101">
        <v>74.069999999999993</v>
      </c>
      <c r="O101">
        <v>296.27999999999997</v>
      </c>
      <c r="P101">
        <v>-125.051999999999</v>
      </c>
      <c r="Q101">
        <v>-73.032447964117907</v>
      </c>
    </row>
    <row r="102" spans="1:17" x14ac:dyDescent="0.25">
      <c r="A102">
        <v>10101</v>
      </c>
      <c r="B102" s="1">
        <v>45758</v>
      </c>
      <c r="C102">
        <v>3130</v>
      </c>
      <c r="D102" t="s">
        <v>23</v>
      </c>
      <c r="E102" t="s">
        <v>18</v>
      </c>
      <c r="F102" t="s">
        <v>33</v>
      </c>
      <c r="G102" t="s">
        <v>31</v>
      </c>
      <c r="H102">
        <v>2</v>
      </c>
      <c r="I102">
        <v>102.24</v>
      </c>
      <c r="J102">
        <v>15</v>
      </c>
      <c r="K102">
        <v>204.48</v>
      </c>
      <c r="L102">
        <v>30.671999999999901</v>
      </c>
      <c r="M102">
        <v>173.80799999999999</v>
      </c>
      <c r="N102">
        <v>86.92</v>
      </c>
      <c r="O102">
        <v>173.84</v>
      </c>
      <c r="P102">
        <v>-3.2000000000010603E-2</v>
      </c>
      <c r="Q102">
        <v>-1.8411120316677399E-2</v>
      </c>
    </row>
    <row r="103" spans="1:17" x14ac:dyDescent="0.25">
      <c r="A103">
        <v>10102</v>
      </c>
      <c r="B103" s="1">
        <v>45759</v>
      </c>
      <c r="C103">
        <v>3083</v>
      </c>
      <c r="D103" t="s">
        <v>21</v>
      </c>
      <c r="E103" t="s">
        <v>24</v>
      </c>
      <c r="F103" t="s">
        <v>33</v>
      </c>
      <c r="G103" t="s">
        <v>20</v>
      </c>
      <c r="H103">
        <v>2</v>
      </c>
      <c r="I103">
        <v>26.6</v>
      </c>
      <c r="J103">
        <v>20</v>
      </c>
      <c r="K103">
        <v>53.2</v>
      </c>
      <c r="L103">
        <v>10.64</v>
      </c>
      <c r="M103">
        <v>42.56</v>
      </c>
      <c r="N103">
        <v>115.91</v>
      </c>
      <c r="O103">
        <v>231.82</v>
      </c>
      <c r="P103">
        <v>-189.26</v>
      </c>
      <c r="Q103">
        <v>-444.68984962406</v>
      </c>
    </row>
    <row r="104" spans="1:17" x14ac:dyDescent="0.25">
      <c r="A104">
        <v>10103</v>
      </c>
      <c r="B104" s="1">
        <v>45760</v>
      </c>
      <c r="C104">
        <v>3946</v>
      </c>
      <c r="D104" t="s">
        <v>29</v>
      </c>
      <c r="E104" t="s">
        <v>24</v>
      </c>
      <c r="F104" t="s">
        <v>33</v>
      </c>
      <c r="G104" t="s">
        <v>20</v>
      </c>
      <c r="H104">
        <v>3</v>
      </c>
      <c r="I104">
        <v>234.16</v>
      </c>
      <c r="J104">
        <v>0</v>
      </c>
      <c r="K104">
        <v>702.48</v>
      </c>
      <c r="L104">
        <v>0</v>
      </c>
      <c r="M104">
        <v>702.48</v>
      </c>
      <c r="N104">
        <v>128.72</v>
      </c>
      <c r="O104">
        <v>386.159999999999</v>
      </c>
      <c r="P104">
        <v>316.32</v>
      </c>
      <c r="Q104">
        <v>45.029039972668201</v>
      </c>
    </row>
    <row r="105" spans="1:17" x14ac:dyDescent="0.25">
      <c r="A105">
        <v>10104</v>
      </c>
      <c r="B105" s="1">
        <v>45761</v>
      </c>
      <c r="C105">
        <v>3402</v>
      </c>
      <c r="D105" t="s">
        <v>17</v>
      </c>
      <c r="E105" t="s">
        <v>18</v>
      </c>
      <c r="F105" t="s">
        <v>25</v>
      </c>
      <c r="G105" t="s">
        <v>30</v>
      </c>
      <c r="H105">
        <v>3</v>
      </c>
      <c r="I105">
        <v>84.25</v>
      </c>
      <c r="J105">
        <v>5</v>
      </c>
      <c r="K105">
        <v>252.75</v>
      </c>
      <c r="L105">
        <v>12.637499999999999</v>
      </c>
      <c r="M105">
        <v>240.11250000000001</v>
      </c>
      <c r="N105">
        <v>46.91</v>
      </c>
      <c r="O105">
        <v>140.72999999999999</v>
      </c>
      <c r="P105">
        <v>99.382499999999993</v>
      </c>
      <c r="Q105">
        <v>41.389973449945302</v>
      </c>
    </row>
    <row r="106" spans="1:17" x14ac:dyDescent="0.25">
      <c r="A106">
        <v>10105</v>
      </c>
      <c r="B106" s="1">
        <v>45762</v>
      </c>
      <c r="C106">
        <v>3021</v>
      </c>
      <c r="D106" t="s">
        <v>29</v>
      </c>
      <c r="E106" t="s">
        <v>24</v>
      </c>
      <c r="F106" t="s">
        <v>19</v>
      </c>
      <c r="G106" t="s">
        <v>22</v>
      </c>
      <c r="H106">
        <v>2</v>
      </c>
      <c r="I106">
        <v>143.4</v>
      </c>
      <c r="J106">
        <v>15</v>
      </c>
      <c r="K106">
        <v>286.8</v>
      </c>
      <c r="L106">
        <v>43.02</v>
      </c>
      <c r="M106">
        <v>243.78</v>
      </c>
      <c r="N106">
        <v>43.23</v>
      </c>
      <c r="O106">
        <v>86.46</v>
      </c>
      <c r="P106">
        <v>157.32</v>
      </c>
      <c r="Q106">
        <v>64.533595865124298</v>
      </c>
    </row>
    <row r="107" spans="1:17" x14ac:dyDescent="0.25">
      <c r="A107">
        <v>10106</v>
      </c>
      <c r="B107" s="1">
        <v>45763</v>
      </c>
      <c r="C107">
        <v>3631</v>
      </c>
      <c r="D107" t="s">
        <v>23</v>
      </c>
      <c r="E107" t="s">
        <v>18</v>
      </c>
      <c r="F107" t="s">
        <v>33</v>
      </c>
      <c r="G107" t="s">
        <v>31</v>
      </c>
      <c r="H107">
        <v>7</v>
      </c>
      <c r="I107">
        <v>32.520000000000003</v>
      </c>
      <c r="J107">
        <v>20</v>
      </c>
      <c r="K107">
        <v>227.64</v>
      </c>
      <c r="L107">
        <v>45.527999999999999</v>
      </c>
      <c r="M107">
        <v>182.11199999999999</v>
      </c>
      <c r="N107">
        <v>50.82</v>
      </c>
      <c r="O107">
        <v>355.74</v>
      </c>
      <c r="P107">
        <v>-173.62799999999999</v>
      </c>
      <c r="Q107">
        <v>-95.341328413284103</v>
      </c>
    </row>
    <row r="108" spans="1:17" x14ac:dyDescent="0.25">
      <c r="A108">
        <v>10107</v>
      </c>
      <c r="B108" s="1">
        <v>45764</v>
      </c>
      <c r="C108">
        <v>3579</v>
      </c>
      <c r="D108" t="s">
        <v>29</v>
      </c>
      <c r="E108" t="s">
        <v>18</v>
      </c>
      <c r="F108" t="s">
        <v>26</v>
      </c>
      <c r="G108" t="s">
        <v>20</v>
      </c>
      <c r="H108">
        <v>3</v>
      </c>
      <c r="I108">
        <v>202.18</v>
      </c>
      <c r="J108">
        <v>0</v>
      </c>
      <c r="K108">
        <v>606.54</v>
      </c>
      <c r="L108">
        <v>0</v>
      </c>
      <c r="M108">
        <v>606.54</v>
      </c>
      <c r="N108">
        <v>130.44</v>
      </c>
      <c r="O108">
        <v>391.32</v>
      </c>
      <c r="P108">
        <v>215.219999999999</v>
      </c>
      <c r="Q108">
        <v>35.483232762884498</v>
      </c>
    </row>
    <row r="109" spans="1:17" x14ac:dyDescent="0.25">
      <c r="A109">
        <v>10108</v>
      </c>
      <c r="B109" s="1">
        <v>45765</v>
      </c>
      <c r="C109">
        <v>3203</v>
      </c>
      <c r="D109" t="s">
        <v>21</v>
      </c>
      <c r="E109" t="s">
        <v>18</v>
      </c>
      <c r="F109" t="s">
        <v>19</v>
      </c>
      <c r="G109" t="s">
        <v>32</v>
      </c>
      <c r="H109">
        <v>6</v>
      </c>
      <c r="I109">
        <v>22.22</v>
      </c>
      <c r="J109">
        <v>15</v>
      </c>
      <c r="K109">
        <v>133.32</v>
      </c>
      <c r="L109">
        <v>19.997999999999902</v>
      </c>
      <c r="M109">
        <v>113.322</v>
      </c>
      <c r="N109">
        <v>135.58000000000001</v>
      </c>
      <c r="O109">
        <v>813.48</v>
      </c>
      <c r="P109">
        <v>-700.15800000000002</v>
      </c>
      <c r="Q109">
        <v>-617.84825541377597</v>
      </c>
    </row>
    <row r="110" spans="1:17" x14ac:dyDescent="0.25">
      <c r="A110">
        <v>10109</v>
      </c>
      <c r="B110" s="1">
        <v>45766</v>
      </c>
      <c r="C110">
        <v>3954</v>
      </c>
      <c r="D110" t="s">
        <v>21</v>
      </c>
      <c r="E110" t="s">
        <v>18</v>
      </c>
      <c r="F110" t="s">
        <v>19</v>
      </c>
      <c r="G110" t="s">
        <v>22</v>
      </c>
      <c r="H110">
        <v>9</v>
      </c>
      <c r="I110">
        <v>62.15</v>
      </c>
      <c r="J110">
        <v>5</v>
      </c>
      <c r="K110">
        <v>559.35</v>
      </c>
      <c r="L110">
        <v>27.967500000000001</v>
      </c>
      <c r="M110">
        <v>531.38250000000005</v>
      </c>
      <c r="N110">
        <v>54.57</v>
      </c>
      <c r="O110">
        <v>491.13</v>
      </c>
      <c r="P110">
        <v>40.252499999999998</v>
      </c>
      <c r="Q110">
        <v>7.5750518694161002</v>
      </c>
    </row>
    <row r="111" spans="1:17" x14ac:dyDescent="0.25">
      <c r="A111">
        <v>10110</v>
      </c>
      <c r="B111" s="1">
        <v>45767</v>
      </c>
      <c r="C111">
        <v>3047</v>
      </c>
      <c r="D111" t="s">
        <v>23</v>
      </c>
      <c r="E111" t="s">
        <v>18</v>
      </c>
      <c r="F111" t="s">
        <v>33</v>
      </c>
      <c r="G111" t="s">
        <v>31</v>
      </c>
      <c r="H111">
        <v>3</v>
      </c>
      <c r="I111">
        <v>18.04</v>
      </c>
      <c r="J111">
        <v>5</v>
      </c>
      <c r="K111">
        <v>54.12</v>
      </c>
      <c r="L111">
        <v>2.706</v>
      </c>
      <c r="M111">
        <v>51.413999999999902</v>
      </c>
      <c r="N111">
        <v>125.85</v>
      </c>
      <c r="O111">
        <v>377.54999999999899</v>
      </c>
      <c r="P111">
        <v>-326.135999999999</v>
      </c>
      <c r="Q111">
        <v>-634.33306103395898</v>
      </c>
    </row>
    <row r="112" spans="1:17" x14ac:dyDescent="0.25">
      <c r="A112">
        <v>10111</v>
      </c>
      <c r="B112" s="1">
        <v>45768</v>
      </c>
      <c r="C112">
        <v>3784</v>
      </c>
      <c r="D112" t="s">
        <v>17</v>
      </c>
      <c r="E112" t="s">
        <v>18</v>
      </c>
      <c r="F112" t="s">
        <v>25</v>
      </c>
      <c r="G112" t="s">
        <v>32</v>
      </c>
      <c r="H112">
        <v>2</v>
      </c>
      <c r="I112">
        <v>34.81</v>
      </c>
      <c r="J112">
        <v>15</v>
      </c>
      <c r="K112">
        <v>69.62</v>
      </c>
      <c r="L112">
        <v>10.443</v>
      </c>
      <c r="M112">
        <v>59.177</v>
      </c>
      <c r="N112">
        <v>83.93</v>
      </c>
      <c r="O112">
        <v>167.86</v>
      </c>
      <c r="P112">
        <v>-108.68300000000001</v>
      </c>
      <c r="Q112">
        <v>-183.65750207005999</v>
      </c>
    </row>
    <row r="113" spans="1:17" x14ac:dyDescent="0.25">
      <c r="A113">
        <v>10112</v>
      </c>
      <c r="B113" s="1">
        <v>45769</v>
      </c>
      <c r="C113">
        <v>3524</v>
      </c>
      <c r="D113" t="s">
        <v>21</v>
      </c>
      <c r="E113" t="s">
        <v>18</v>
      </c>
      <c r="F113" t="s">
        <v>26</v>
      </c>
      <c r="G113" t="s">
        <v>31</v>
      </c>
      <c r="H113">
        <v>1</v>
      </c>
      <c r="I113">
        <v>171.18</v>
      </c>
      <c r="J113">
        <v>5</v>
      </c>
      <c r="K113">
        <v>171.18</v>
      </c>
      <c r="L113">
        <v>8.5589999999999993</v>
      </c>
      <c r="M113">
        <v>162.62100000000001</v>
      </c>
      <c r="N113">
        <v>143.9</v>
      </c>
      <c r="O113">
        <v>143.9</v>
      </c>
      <c r="P113">
        <v>18.721</v>
      </c>
      <c r="Q113">
        <v>11.512043340036</v>
      </c>
    </row>
    <row r="114" spans="1:17" x14ac:dyDescent="0.25">
      <c r="A114">
        <v>10113</v>
      </c>
      <c r="B114" s="1">
        <v>45770</v>
      </c>
      <c r="C114">
        <v>3349</v>
      </c>
      <c r="D114" t="s">
        <v>17</v>
      </c>
      <c r="E114" t="s">
        <v>24</v>
      </c>
      <c r="F114" t="s">
        <v>26</v>
      </c>
      <c r="G114" t="s">
        <v>30</v>
      </c>
      <c r="H114">
        <v>9</v>
      </c>
      <c r="I114">
        <v>76.13</v>
      </c>
      <c r="J114">
        <v>15</v>
      </c>
      <c r="K114">
        <v>685.17</v>
      </c>
      <c r="L114">
        <v>102.77549999999999</v>
      </c>
      <c r="M114">
        <v>582.39449999999999</v>
      </c>
      <c r="N114">
        <v>87.65</v>
      </c>
      <c r="O114">
        <v>788.85</v>
      </c>
      <c r="P114">
        <v>-206.4555</v>
      </c>
      <c r="Q114">
        <v>-35.449424745597703</v>
      </c>
    </row>
    <row r="115" spans="1:17" x14ac:dyDescent="0.25">
      <c r="A115">
        <v>10114</v>
      </c>
      <c r="B115" s="1">
        <v>45771</v>
      </c>
      <c r="C115">
        <v>3107</v>
      </c>
      <c r="D115" t="s">
        <v>17</v>
      </c>
      <c r="E115" t="s">
        <v>24</v>
      </c>
      <c r="F115" t="s">
        <v>19</v>
      </c>
      <c r="G115" t="s">
        <v>27</v>
      </c>
      <c r="H115">
        <v>2</v>
      </c>
      <c r="I115">
        <v>127.73</v>
      </c>
      <c r="J115">
        <v>15</v>
      </c>
      <c r="K115">
        <v>255.46</v>
      </c>
      <c r="L115">
        <v>38.319000000000003</v>
      </c>
      <c r="M115">
        <v>217.14099999999999</v>
      </c>
      <c r="N115">
        <v>136.1</v>
      </c>
      <c r="O115">
        <v>272.2</v>
      </c>
      <c r="P115">
        <v>-55.058999999999898</v>
      </c>
      <c r="Q115">
        <v>-25.356335284446399</v>
      </c>
    </row>
    <row r="116" spans="1:17" x14ac:dyDescent="0.25">
      <c r="A116">
        <v>10115</v>
      </c>
      <c r="B116" s="1">
        <v>45772</v>
      </c>
      <c r="C116">
        <v>3745</v>
      </c>
      <c r="D116" t="s">
        <v>21</v>
      </c>
      <c r="E116" t="s">
        <v>24</v>
      </c>
      <c r="F116" t="s">
        <v>33</v>
      </c>
      <c r="G116" t="s">
        <v>31</v>
      </c>
      <c r="H116">
        <v>7</v>
      </c>
      <c r="I116">
        <v>161.69999999999999</v>
      </c>
      <c r="J116">
        <v>10</v>
      </c>
      <c r="K116">
        <v>1131.8999999999901</v>
      </c>
      <c r="L116">
        <v>113.19</v>
      </c>
      <c r="M116">
        <v>1018.70999999999</v>
      </c>
      <c r="N116">
        <v>85.4</v>
      </c>
      <c r="O116">
        <v>597.79999999999995</v>
      </c>
      <c r="P116">
        <v>420.909999999999</v>
      </c>
      <c r="Q116">
        <v>41.317941317941298</v>
      </c>
    </row>
    <row r="117" spans="1:17" x14ac:dyDescent="0.25">
      <c r="A117">
        <v>10116</v>
      </c>
      <c r="B117" s="1">
        <v>45773</v>
      </c>
      <c r="C117">
        <v>3393</v>
      </c>
      <c r="D117" t="s">
        <v>17</v>
      </c>
      <c r="E117" t="s">
        <v>24</v>
      </c>
      <c r="F117" t="s">
        <v>26</v>
      </c>
      <c r="G117" t="s">
        <v>22</v>
      </c>
      <c r="H117">
        <v>2</v>
      </c>
      <c r="I117">
        <v>125.96</v>
      </c>
      <c r="J117">
        <v>20</v>
      </c>
      <c r="K117">
        <v>251.92</v>
      </c>
      <c r="L117">
        <v>50.384</v>
      </c>
      <c r="M117">
        <v>201.536</v>
      </c>
      <c r="N117">
        <v>55.63</v>
      </c>
      <c r="O117">
        <v>111.26</v>
      </c>
      <c r="P117">
        <v>90.275999999999996</v>
      </c>
      <c r="Q117">
        <v>44.793982216576602</v>
      </c>
    </row>
    <row r="118" spans="1:17" x14ac:dyDescent="0.25">
      <c r="A118">
        <v>10117</v>
      </c>
      <c r="B118" s="1">
        <v>45774</v>
      </c>
      <c r="C118">
        <v>3844</v>
      </c>
      <c r="D118" t="s">
        <v>29</v>
      </c>
      <c r="E118" t="s">
        <v>24</v>
      </c>
      <c r="F118" t="s">
        <v>26</v>
      </c>
      <c r="G118" t="s">
        <v>30</v>
      </c>
      <c r="H118">
        <v>1</v>
      </c>
      <c r="I118">
        <v>95.44</v>
      </c>
      <c r="J118">
        <v>10</v>
      </c>
      <c r="K118">
        <v>95.44</v>
      </c>
      <c r="L118">
        <v>9.5440000000000005</v>
      </c>
      <c r="M118">
        <v>85.896000000000001</v>
      </c>
      <c r="N118">
        <v>128.13</v>
      </c>
      <c r="O118">
        <v>128.13</v>
      </c>
      <c r="P118">
        <v>-42.233999999999902</v>
      </c>
      <c r="Q118">
        <v>-49.168762224084901</v>
      </c>
    </row>
    <row r="119" spans="1:17" x14ac:dyDescent="0.25">
      <c r="A119">
        <v>10118</v>
      </c>
      <c r="B119" s="1">
        <v>45775</v>
      </c>
      <c r="C119">
        <v>3835</v>
      </c>
      <c r="D119" t="s">
        <v>23</v>
      </c>
      <c r="E119" t="s">
        <v>24</v>
      </c>
      <c r="F119" t="s">
        <v>26</v>
      </c>
      <c r="G119" t="s">
        <v>30</v>
      </c>
      <c r="H119">
        <v>6</v>
      </c>
      <c r="I119">
        <v>239.43</v>
      </c>
      <c r="J119">
        <v>15</v>
      </c>
      <c r="K119">
        <v>1436.58</v>
      </c>
      <c r="L119">
        <v>215.48699999999999</v>
      </c>
      <c r="M119">
        <v>1221.0929999999901</v>
      </c>
      <c r="N119">
        <v>53.92</v>
      </c>
      <c r="O119">
        <v>323.52</v>
      </c>
      <c r="P119">
        <v>897.57299999999896</v>
      </c>
      <c r="Q119">
        <v>73.505703496785202</v>
      </c>
    </row>
    <row r="120" spans="1:17" x14ac:dyDescent="0.25">
      <c r="A120">
        <v>10119</v>
      </c>
      <c r="B120" s="1">
        <v>45776</v>
      </c>
      <c r="C120">
        <v>3622</v>
      </c>
      <c r="D120" t="s">
        <v>21</v>
      </c>
      <c r="E120" t="s">
        <v>18</v>
      </c>
      <c r="F120" t="s">
        <v>33</v>
      </c>
      <c r="G120" t="s">
        <v>31</v>
      </c>
      <c r="H120">
        <v>7</v>
      </c>
      <c r="I120">
        <v>202.86</v>
      </c>
      <c r="J120">
        <v>10</v>
      </c>
      <c r="K120">
        <v>1420.02</v>
      </c>
      <c r="L120">
        <v>142.00200000000001</v>
      </c>
      <c r="M120">
        <v>1278.018</v>
      </c>
      <c r="N120">
        <v>119.35</v>
      </c>
      <c r="O120">
        <v>835.44999999999902</v>
      </c>
      <c r="P120">
        <v>442.56799999999998</v>
      </c>
      <c r="Q120">
        <v>34.629246223449101</v>
      </c>
    </row>
    <row r="121" spans="1:17" x14ac:dyDescent="0.25">
      <c r="A121">
        <v>10120</v>
      </c>
      <c r="B121" s="1">
        <v>45777</v>
      </c>
      <c r="C121">
        <v>3654</v>
      </c>
      <c r="D121" t="s">
        <v>21</v>
      </c>
      <c r="E121" t="s">
        <v>18</v>
      </c>
      <c r="F121" t="s">
        <v>19</v>
      </c>
      <c r="G121" t="s">
        <v>22</v>
      </c>
      <c r="H121">
        <v>3</v>
      </c>
      <c r="I121">
        <v>55.81</v>
      </c>
      <c r="J121">
        <v>15</v>
      </c>
      <c r="K121">
        <v>167.43</v>
      </c>
      <c r="L121">
        <v>25.1145</v>
      </c>
      <c r="M121">
        <v>142.31549999999999</v>
      </c>
      <c r="N121">
        <v>81.95</v>
      </c>
      <c r="O121">
        <v>245.85</v>
      </c>
      <c r="P121">
        <v>-103.53449999999999</v>
      </c>
      <c r="Q121">
        <v>-72.749981555066</v>
      </c>
    </row>
    <row r="122" spans="1:17" x14ac:dyDescent="0.25">
      <c r="A122">
        <v>10121</v>
      </c>
      <c r="B122" s="1">
        <v>45778</v>
      </c>
      <c r="C122">
        <v>3636</v>
      </c>
      <c r="D122" t="s">
        <v>23</v>
      </c>
      <c r="E122" t="s">
        <v>24</v>
      </c>
      <c r="F122" t="s">
        <v>33</v>
      </c>
      <c r="G122" t="s">
        <v>22</v>
      </c>
      <c r="H122">
        <v>3</v>
      </c>
      <c r="I122">
        <v>198.38</v>
      </c>
      <c r="J122">
        <v>0</v>
      </c>
      <c r="K122">
        <v>595.14</v>
      </c>
      <c r="L122">
        <v>0</v>
      </c>
      <c r="M122">
        <v>595.14</v>
      </c>
      <c r="N122">
        <v>51.92</v>
      </c>
      <c r="O122">
        <v>155.76</v>
      </c>
      <c r="P122">
        <v>439.38</v>
      </c>
      <c r="Q122">
        <v>73.828006855529793</v>
      </c>
    </row>
    <row r="123" spans="1:17" x14ac:dyDescent="0.25">
      <c r="A123">
        <v>10122</v>
      </c>
      <c r="B123" s="1">
        <v>45779</v>
      </c>
      <c r="C123">
        <v>3276</v>
      </c>
      <c r="D123" t="s">
        <v>29</v>
      </c>
      <c r="E123" t="s">
        <v>24</v>
      </c>
      <c r="F123" t="s">
        <v>19</v>
      </c>
      <c r="G123" t="s">
        <v>28</v>
      </c>
      <c r="H123">
        <v>7</v>
      </c>
      <c r="I123">
        <v>102.6</v>
      </c>
      <c r="J123">
        <v>10</v>
      </c>
      <c r="K123">
        <v>718.19999999999902</v>
      </c>
      <c r="L123">
        <v>71.819999999999993</v>
      </c>
      <c r="M123">
        <v>646.37999999999897</v>
      </c>
      <c r="N123">
        <v>74.05</v>
      </c>
      <c r="O123">
        <v>518.35</v>
      </c>
      <c r="P123">
        <v>128.02999999999901</v>
      </c>
      <c r="Q123">
        <v>19.807234134719401</v>
      </c>
    </row>
    <row r="124" spans="1:17" x14ac:dyDescent="0.25">
      <c r="A124">
        <v>10123</v>
      </c>
      <c r="B124" s="1">
        <v>45780</v>
      </c>
      <c r="C124">
        <v>3309</v>
      </c>
      <c r="D124" t="s">
        <v>17</v>
      </c>
      <c r="E124" t="s">
        <v>24</v>
      </c>
      <c r="F124" t="s">
        <v>33</v>
      </c>
      <c r="G124" t="s">
        <v>28</v>
      </c>
      <c r="H124">
        <v>8</v>
      </c>
      <c r="I124">
        <v>22.64</v>
      </c>
      <c r="J124">
        <v>0</v>
      </c>
      <c r="K124">
        <v>181.12</v>
      </c>
      <c r="L124">
        <v>0</v>
      </c>
      <c r="M124">
        <v>181.12</v>
      </c>
      <c r="N124">
        <v>136.38</v>
      </c>
      <c r="O124">
        <v>1091.04</v>
      </c>
      <c r="P124">
        <v>-909.92</v>
      </c>
      <c r="Q124">
        <v>-502.38515901059998</v>
      </c>
    </row>
    <row r="125" spans="1:17" x14ac:dyDescent="0.25">
      <c r="A125">
        <v>10124</v>
      </c>
      <c r="B125" s="1">
        <v>45781</v>
      </c>
      <c r="C125">
        <v>3911</v>
      </c>
      <c r="D125" t="s">
        <v>29</v>
      </c>
      <c r="E125" t="s">
        <v>18</v>
      </c>
      <c r="F125" t="s">
        <v>19</v>
      </c>
      <c r="G125" t="s">
        <v>28</v>
      </c>
      <c r="H125">
        <v>8</v>
      </c>
      <c r="I125">
        <v>102.57</v>
      </c>
      <c r="J125">
        <v>10</v>
      </c>
      <c r="K125">
        <v>820.56</v>
      </c>
      <c r="L125">
        <v>82.055999999999997</v>
      </c>
      <c r="M125">
        <v>738.503999999999</v>
      </c>
      <c r="N125">
        <v>48.12</v>
      </c>
      <c r="O125">
        <v>384.96</v>
      </c>
      <c r="P125">
        <v>353.54399999999902</v>
      </c>
      <c r="Q125">
        <v>47.872997302655001</v>
      </c>
    </row>
    <row r="126" spans="1:17" x14ac:dyDescent="0.25">
      <c r="A126">
        <v>10125</v>
      </c>
      <c r="B126" s="1">
        <v>45782</v>
      </c>
      <c r="C126">
        <v>3827</v>
      </c>
      <c r="D126" t="s">
        <v>23</v>
      </c>
      <c r="E126" t="s">
        <v>24</v>
      </c>
      <c r="F126" t="s">
        <v>33</v>
      </c>
      <c r="G126" t="s">
        <v>31</v>
      </c>
      <c r="H126">
        <v>6</v>
      </c>
      <c r="I126">
        <v>50.12</v>
      </c>
      <c r="J126">
        <v>15</v>
      </c>
      <c r="K126">
        <v>300.719999999999</v>
      </c>
      <c r="L126">
        <v>45.107999999999997</v>
      </c>
      <c r="M126">
        <v>255.611999999999</v>
      </c>
      <c r="N126">
        <v>17.52</v>
      </c>
      <c r="O126">
        <v>105.12</v>
      </c>
      <c r="P126">
        <v>150.491999999999</v>
      </c>
      <c r="Q126">
        <v>58.875170179803703</v>
      </c>
    </row>
    <row r="127" spans="1:17" x14ac:dyDescent="0.25">
      <c r="A127">
        <v>10126</v>
      </c>
      <c r="B127" s="1">
        <v>45783</v>
      </c>
      <c r="C127">
        <v>3035</v>
      </c>
      <c r="D127" t="s">
        <v>23</v>
      </c>
      <c r="E127" t="s">
        <v>24</v>
      </c>
      <c r="F127" t="s">
        <v>25</v>
      </c>
      <c r="G127" t="s">
        <v>32</v>
      </c>
      <c r="H127">
        <v>8</v>
      </c>
      <c r="I127">
        <v>185.61</v>
      </c>
      <c r="J127">
        <v>20</v>
      </c>
      <c r="K127">
        <v>1484.88</v>
      </c>
      <c r="L127">
        <v>296.976</v>
      </c>
      <c r="M127">
        <v>1187.904</v>
      </c>
      <c r="N127">
        <v>136.06</v>
      </c>
      <c r="O127">
        <v>1088.48</v>
      </c>
      <c r="P127">
        <v>99.423999999999893</v>
      </c>
      <c r="Q127">
        <v>8.3696999084100998</v>
      </c>
    </row>
    <row r="128" spans="1:17" x14ac:dyDescent="0.25">
      <c r="A128">
        <v>10127</v>
      </c>
      <c r="B128" s="1">
        <v>45784</v>
      </c>
      <c r="C128">
        <v>3816</v>
      </c>
      <c r="D128" t="s">
        <v>23</v>
      </c>
      <c r="E128" t="s">
        <v>18</v>
      </c>
      <c r="F128" t="s">
        <v>25</v>
      </c>
      <c r="G128" t="s">
        <v>32</v>
      </c>
      <c r="H128">
        <v>3</v>
      </c>
      <c r="I128">
        <v>108.15</v>
      </c>
      <c r="J128">
        <v>5</v>
      </c>
      <c r="K128">
        <v>324.45</v>
      </c>
      <c r="L128">
        <v>16.2225</v>
      </c>
      <c r="M128">
        <v>308.22750000000002</v>
      </c>
      <c r="N128">
        <v>22.11</v>
      </c>
      <c r="O128">
        <v>66.33</v>
      </c>
      <c r="P128">
        <v>241.89750000000001</v>
      </c>
      <c r="Q128">
        <v>78.480181035111997</v>
      </c>
    </row>
    <row r="129" spans="1:17" x14ac:dyDescent="0.25">
      <c r="A129">
        <v>10128</v>
      </c>
      <c r="B129" s="1">
        <v>45785</v>
      </c>
      <c r="C129">
        <v>3260</v>
      </c>
      <c r="D129" t="s">
        <v>21</v>
      </c>
      <c r="E129" t="s">
        <v>24</v>
      </c>
      <c r="F129" t="s">
        <v>26</v>
      </c>
      <c r="G129" t="s">
        <v>20</v>
      </c>
      <c r="H129">
        <v>9</v>
      </c>
      <c r="I129">
        <v>201.38</v>
      </c>
      <c r="J129">
        <v>5</v>
      </c>
      <c r="K129">
        <v>1812.42</v>
      </c>
      <c r="L129">
        <v>90.620999999999995</v>
      </c>
      <c r="M129">
        <v>1721.799</v>
      </c>
      <c r="N129">
        <v>38.479999999999997</v>
      </c>
      <c r="O129">
        <v>346.32</v>
      </c>
      <c r="P129">
        <v>1375.479</v>
      </c>
      <c r="Q129">
        <v>79.886153958737296</v>
      </c>
    </row>
    <row r="130" spans="1:17" x14ac:dyDescent="0.25">
      <c r="A130">
        <v>10129</v>
      </c>
      <c r="B130" s="1">
        <v>45786</v>
      </c>
      <c r="C130">
        <v>3811</v>
      </c>
      <c r="D130" t="s">
        <v>23</v>
      </c>
      <c r="E130" t="s">
        <v>24</v>
      </c>
      <c r="F130" t="s">
        <v>25</v>
      </c>
      <c r="G130" t="s">
        <v>28</v>
      </c>
      <c r="H130">
        <v>9</v>
      </c>
      <c r="I130">
        <v>241.44</v>
      </c>
      <c r="J130">
        <v>0</v>
      </c>
      <c r="K130">
        <v>2172.96</v>
      </c>
      <c r="L130">
        <v>0</v>
      </c>
      <c r="M130">
        <v>2172.96</v>
      </c>
      <c r="N130">
        <v>74.56</v>
      </c>
      <c r="O130">
        <v>671.04</v>
      </c>
      <c r="P130">
        <v>1501.92</v>
      </c>
      <c r="Q130">
        <v>69.118621603711006</v>
      </c>
    </row>
    <row r="131" spans="1:17" x14ac:dyDescent="0.25">
      <c r="A131">
        <v>10130</v>
      </c>
      <c r="B131" s="1">
        <v>45787</v>
      </c>
      <c r="C131">
        <v>3456</v>
      </c>
      <c r="D131" t="s">
        <v>23</v>
      </c>
      <c r="E131" t="s">
        <v>24</v>
      </c>
      <c r="F131" t="s">
        <v>19</v>
      </c>
      <c r="G131" t="s">
        <v>28</v>
      </c>
      <c r="H131">
        <v>3</v>
      </c>
      <c r="I131">
        <v>121.2</v>
      </c>
      <c r="J131">
        <v>10</v>
      </c>
      <c r="K131">
        <v>363.6</v>
      </c>
      <c r="L131">
        <v>36.36</v>
      </c>
      <c r="M131">
        <v>327.24</v>
      </c>
      <c r="N131">
        <v>118.08</v>
      </c>
      <c r="O131">
        <v>354.24</v>
      </c>
      <c r="P131">
        <v>-27</v>
      </c>
      <c r="Q131">
        <v>-8.2508250825082499</v>
      </c>
    </row>
    <row r="132" spans="1:17" x14ac:dyDescent="0.25">
      <c r="A132">
        <v>10131</v>
      </c>
      <c r="B132" s="1">
        <v>45788</v>
      </c>
      <c r="C132">
        <v>3474</v>
      </c>
      <c r="D132" t="s">
        <v>29</v>
      </c>
      <c r="E132" t="s">
        <v>24</v>
      </c>
      <c r="F132" t="s">
        <v>26</v>
      </c>
      <c r="G132" t="s">
        <v>22</v>
      </c>
      <c r="H132">
        <v>4</v>
      </c>
      <c r="I132">
        <v>77.569999999999993</v>
      </c>
      <c r="J132">
        <v>0</v>
      </c>
      <c r="K132">
        <v>310.27999999999997</v>
      </c>
      <c r="L132">
        <v>0</v>
      </c>
      <c r="M132">
        <v>310.27999999999997</v>
      </c>
      <c r="N132">
        <v>146.74</v>
      </c>
      <c r="O132">
        <v>586.96</v>
      </c>
      <c r="P132">
        <v>-276.68</v>
      </c>
      <c r="Q132">
        <v>-89.171071290447301</v>
      </c>
    </row>
    <row r="133" spans="1:17" x14ac:dyDescent="0.25">
      <c r="A133">
        <v>10132</v>
      </c>
      <c r="B133" s="1">
        <v>45789</v>
      </c>
      <c r="C133">
        <v>3762</v>
      </c>
      <c r="D133" t="s">
        <v>21</v>
      </c>
      <c r="E133" t="s">
        <v>18</v>
      </c>
      <c r="F133" t="s">
        <v>33</v>
      </c>
      <c r="G133" t="s">
        <v>28</v>
      </c>
      <c r="H133">
        <v>5</v>
      </c>
      <c r="I133">
        <v>155.15</v>
      </c>
      <c r="J133">
        <v>20</v>
      </c>
      <c r="K133">
        <v>775.75</v>
      </c>
      <c r="L133">
        <v>155.15</v>
      </c>
      <c r="M133">
        <v>620.6</v>
      </c>
      <c r="N133">
        <v>32.090000000000003</v>
      </c>
      <c r="O133">
        <v>160.44999999999999</v>
      </c>
      <c r="P133">
        <v>460.15</v>
      </c>
      <c r="Q133">
        <v>74.145987753786599</v>
      </c>
    </row>
    <row r="134" spans="1:17" x14ac:dyDescent="0.25">
      <c r="A134">
        <v>10133</v>
      </c>
      <c r="B134" s="1">
        <v>45790</v>
      </c>
      <c r="C134">
        <v>3566</v>
      </c>
      <c r="D134" t="s">
        <v>17</v>
      </c>
      <c r="E134" t="s">
        <v>18</v>
      </c>
      <c r="F134" t="s">
        <v>26</v>
      </c>
      <c r="G134" t="s">
        <v>30</v>
      </c>
      <c r="H134">
        <v>2</v>
      </c>
      <c r="I134">
        <v>135.62</v>
      </c>
      <c r="J134">
        <v>10</v>
      </c>
      <c r="K134">
        <v>271.24</v>
      </c>
      <c r="L134">
        <v>27.123999999999999</v>
      </c>
      <c r="M134">
        <v>244.11600000000001</v>
      </c>
      <c r="N134">
        <v>38.71</v>
      </c>
      <c r="O134">
        <v>77.42</v>
      </c>
      <c r="P134">
        <v>166.696</v>
      </c>
      <c r="Q134">
        <v>68.285569155647295</v>
      </c>
    </row>
    <row r="135" spans="1:17" x14ac:dyDescent="0.25">
      <c r="A135">
        <v>10134</v>
      </c>
      <c r="B135" s="1">
        <v>45791</v>
      </c>
      <c r="C135">
        <v>3555</v>
      </c>
      <c r="D135" t="s">
        <v>23</v>
      </c>
      <c r="E135" t="s">
        <v>18</v>
      </c>
      <c r="F135" t="s">
        <v>25</v>
      </c>
      <c r="G135" t="s">
        <v>27</v>
      </c>
      <c r="H135">
        <v>8</v>
      </c>
      <c r="I135">
        <v>141.35</v>
      </c>
      <c r="J135">
        <v>5</v>
      </c>
      <c r="K135">
        <v>1130.8</v>
      </c>
      <c r="L135">
        <v>56.54</v>
      </c>
      <c r="M135">
        <v>1074.26</v>
      </c>
      <c r="N135">
        <v>149.44</v>
      </c>
      <c r="O135">
        <v>1195.52</v>
      </c>
      <c r="P135">
        <v>-121.259999999999</v>
      </c>
      <c r="Q135">
        <v>-11.2877701859884</v>
      </c>
    </row>
    <row r="136" spans="1:17" x14ac:dyDescent="0.25">
      <c r="A136">
        <v>10135</v>
      </c>
      <c r="B136" s="1">
        <v>45792</v>
      </c>
      <c r="C136">
        <v>3215</v>
      </c>
      <c r="D136" t="s">
        <v>21</v>
      </c>
      <c r="E136" t="s">
        <v>18</v>
      </c>
      <c r="F136" t="s">
        <v>26</v>
      </c>
      <c r="G136" t="s">
        <v>31</v>
      </c>
      <c r="H136">
        <v>5</v>
      </c>
      <c r="I136">
        <v>111.97</v>
      </c>
      <c r="J136">
        <v>20</v>
      </c>
      <c r="K136">
        <v>559.85</v>
      </c>
      <c r="L136">
        <v>111.97</v>
      </c>
      <c r="M136">
        <v>447.88</v>
      </c>
      <c r="N136">
        <v>86.6</v>
      </c>
      <c r="O136">
        <v>433</v>
      </c>
      <c r="P136">
        <v>14.8799999999999</v>
      </c>
      <c r="Q136">
        <v>3.32231847816379</v>
      </c>
    </row>
    <row r="137" spans="1:17" x14ac:dyDescent="0.25">
      <c r="A137">
        <v>10136</v>
      </c>
      <c r="B137" s="1">
        <v>45793</v>
      </c>
      <c r="C137">
        <v>3973</v>
      </c>
      <c r="D137" t="s">
        <v>29</v>
      </c>
      <c r="E137" t="s">
        <v>18</v>
      </c>
      <c r="F137" t="s">
        <v>33</v>
      </c>
      <c r="G137" t="s">
        <v>31</v>
      </c>
      <c r="H137">
        <v>6</v>
      </c>
      <c r="I137">
        <v>105.69</v>
      </c>
      <c r="J137">
        <v>15</v>
      </c>
      <c r="K137">
        <v>634.14</v>
      </c>
      <c r="L137">
        <v>95.120999999999995</v>
      </c>
      <c r="M137">
        <v>539.01900000000001</v>
      </c>
      <c r="N137">
        <v>129.94999999999999</v>
      </c>
      <c r="O137">
        <v>779.69999999999902</v>
      </c>
      <c r="P137">
        <v>-240.68099999999899</v>
      </c>
      <c r="Q137">
        <v>-44.651672761071403</v>
      </c>
    </row>
    <row r="138" spans="1:17" x14ac:dyDescent="0.25">
      <c r="A138">
        <v>10137</v>
      </c>
      <c r="B138" s="1">
        <v>45794</v>
      </c>
      <c r="C138">
        <v>3434</v>
      </c>
      <c r="D138" t="s">
        <v>21</v>
      </c>
      <c r="E138" t="s">
        <v>18</v>
      </c>
      <c r="F138" t="s">
        <v>19</v>
      </c>
      <c r="G138" t="s">
        <v>28</v>
      </c>
      <c r="H138">
        <v>9</v>
      </c>
      <c r="I138">
        <v>84.23</v>
      </c>
      <c r="J138">
        <v>20</v>
      </c>
      <c r="K138">
        <v>758.07</v>
      </c>
      <c r="L138">
        <v>151.614</v>
      </c>
      <c r="M138">
        <v>606.45600000000002</v>
      </c>
      <c r="N138">
        <v>58</v>
      </c>
      <c r="O138">
        <v>522</v>
      </c>
      <c r="P138">
        <v>84.456000000000003</v>
      </c>
      <c r="Q138">
        <v>13.926154576754101</v>
      </c>
    </row>
    <row r="139" spans="1:17" x14ac:dyDescent="0.25">
      <c r="A139">
        <v>10138</v>
      </c>
      <c r="B139" s="1">
        <v>45795</v>
      </c>
      <c r="C139">
        <v>3039</v>
      </c>
      <c r="D139" t="s">
        <v>23</v>
      </c>
      <c r="E139" t="s">
        <v>18</v>
      </c>
      <c r="F139" t="s">
        <v>33</v>
      </c>
      <c r="G139" t="s">
        <v>30</v>
      </c>
      <c r="H139">
        <v>8</v>
      </c>
      <c r="I139">
        <v>229.29</v>
      </c>
      <c r="J139">
        <v>10</v>
      </c>
      <c r="K139">
        <v>1834.32</v>
      </c>
      <c r="L139">
        <v>183.43199999999999</v>
      </c>
      <c r="M139">
        <v>1650.8879999999999</v>
      </c>
      <c r="N139">
        <v>47.05</v>
      </c>
      <c r="O139">
        <v>376.4</v>
      </c>
      <c r="P139">
        <v>1274.4879999999901</v>
      </c>
      <c r="Q139">
        <v>77.200149253007993</v>
      </c>
    </row>
    <row r="140" spans="1:17" x14ac:dyDescent="0.25">
      <c r="A140">
        <v>10139</v>
      </c>
      <c r="B140" s="1">
        <v>45796</v>
      </c>
      <c r="C140">
        <v>3131</v>
      </c>
      <c r="D140" t="s">
        <v>23</v>
      </c>
      <c r="E140" t="s">
        <v>24</v>
      </c>
      <c r="F140" t="s">
        <v>25</v>
      </c>
      <c r="G140" t="s">
        <v>31</v>
      </c>
      <c r="H140">
        <v>9</v>
      </c>
      <c r="I140">
        <v>151.88</v>
      </c>
      <c r="J140">
        <v>10</v>
      </c>
      <c r="K140">
        <v>1366.92</v>
      </c>
      <c r="L140">
        <v>136.69200000000001</v>
      </c>
      <c r="M140">
        <v>1230.2280000000001</v>
      </c>
      <c r="N140">
        <v>131.88</v>
      </c>
      <c r="O140">
        <v>1186.92</v>
      </c>
      <c r="P140">
        <v>43.3079999999999</v>
      </c>
      <c r="Q140">
        <v>3.5203230620665402</v>
      </c>
    </row>
    <row r="141" spans="1:17" x14ac:dyDescent="0.25">
      <c r="A141">
        <v>10140</v>
      </c>
      <c r="B141" s="1">
        <v>45797</v>
      </c>
      <c r="C141">
        <v>3413</v>
      </c>
      <c r="D141" t="s">
        <v>17</v>
      </c>
      <c r="E141" t="s">
        <v>18</v>
      </c>
      <c r="F141" t="s">
        <v>25</v>
      </c>
      <c r="G141" t="s">
        <v>20</v>
      </c>
      <c r="H141">
        <v>1</v>
      </c>
      <c r="I141">
        <v>199.11</v>
      </c>
      <c r="J141">
        <v>5</v>
      </c>
      <c r="K141">
        <v>199.11</v>
      </c>
      <c r="L141">
        <v>9.9555000000000007</v>
      </c>
      <c r="M141">
        <v>189.15450000000001</v>
      </c>
      <c r="N141">
        <v>34.97</v>
      </c>
      <c r="O141">
        <v>34.97</v>
      </c>
      <c r="P141">
        <v>154.18450000000001</v>
      </c>
      <c r="Q141">
        <v>81.5124673216867</v>
      </c>
    </row>
    <row r="142" spans="1:17" x14ac:dyDescent="0.25">
      <c r="A142">
        <v>10141</v>
      </c>
      <c r="B142" s="1">
        <v>45798</v>
      </c>
      <c r="C142">
        <v>3908</v>
      </c>
      <c r="D142" t="s">
        <v>21</v>
      </c>
      <c r="E142" t="s">
        <v>24</v>
      </c>
      <c r="F142" t="s">
        <v>33</v>
      </c>
      <c r="G142" t="s">
        <v>27</v>
      </c>
      <c r="H142">
        <v>7</v>
      </c>
      <c r="I142">
        <v>114.4</v>
      </c>
      <c r="J142">
        <v>0</v>
      </c>
      <c r="K142">
        <v>800.8</v>
      </c>
      <c r="L142">
        <v>0</v>
      </c>
      <c r="M142">
        <v>800.8</v>
      </c>
      <c r="N142">
        <v>43.48</v>
      </c>
      <c r="O142">
        <v>304.35999999999899</v>
      </c>
      <c r="P142">
        <v>496.44</v>
      </c>
      <c r="Q142">
        <v>61.993006993007</v>
      </c>
    </row>
    <row r="143" spans="1:17" x14ac:dyDescent="0.25">
      <c r="A143">
        <v>10142</v>
      </c>
      <c r="B143" s="1">
        <v>45799</v>
      </c>
      <c r="C143">
        <v>3460</v>
      </c>
      <c r="D143" t="s">
        <v>17</v>
      </c>
      <c r="E143" t="s">
        <v>24</v>
      </c>
      <c r="F143" t="s">
        <v>33</v>
      </c>
      <c r="G143" t="s">
        <v>31</v>
      </c>
      <c r="H143">
        <v>1</v>
      </c>
      <c r="I143">
        <v>99.96</v>
      </c>
      <c r="J143">
        <v>20</v>
      </c>
      <c r="K143">
        <v>99.96</v>
      </c>
      <c r="L143">
        <v>19.992000000000001</v>
      </c>
      <c r="M143">
        <v>79.967999999999904</v>
      </c>
      <c r="N143">
        <v>58.42</v>
      </c>
      <c r="O143">
        <v>58.42</v>
      </c>
      <c r="P143">
        <v>21.547999999999899</v>
      </c>
      <c r="Q143">
        <v>26.945778311324499</v>
      </c>
    </row>
    <row r="144" spans="1:17" x14ac:dyDescent="0.25">
      <c r="A144">
        <v>10143</v>
      </c>
      <c r="B144" s="1">
        <v>45800</v>
      </c>
      <c r="C144">
        <v>3847</v>
      </c>
      <c r="D144" t="s">
        <v>23</v>
      </c>
      <c r="E144" t="s">
        <v>24</v>
      </c>
      <c r="F144" t="s">
        <v>33</v>
      </c>
      <c r="G144" t="s">
        <v>20</v>
      </c>
      <c r="H144">
        <v>9</v>
      </c>
      <c r="I144">
        <v>45.57</v>
      </c>
      <c r="J144">
        <v>15</v>
      </c>
      <c r="K144">
        <v>410.13</v>
      </c>
      <c r="L144">
        <v>61.519499999999901</v>
      </c>
      <c r="M144">
        <v>348.6105</v>
      </c>
      <c r="N144">
        <v>53.58</v>
      </c>
      <c r="O144">
        <v>482.219999999999</v>
      </c>
      <c r="P144">
        <v>-133.609499999999</v>
      </c>
      <c r="Q144">
        <v>-38.326298261239899</v>
      </c>
    </row>
    <row r="145" spans="1:17" x14ac:dyDescent="0.25">
      <c r="A145">
        <v>10144</v>
      </c>
      <c r="B145" s="1">
        <v>45801</v>
      </c>
      <c r="C145">
        <v>3797</v>
      </c>
      <c r="D145" t="s">
        <v>21</v>
      </c>
      <c r="E145" t="s">
        <v>18</v>
      </c>
      <c r="F145" t="s">
        <v>33</v>
      </c>
      <c r="G145" t="s">
        <v>30</v>
      </c>
      <c r="H145">
        <v>5</v>
      </c>
      <c r="I145">
        <v>126.95</v>
      </c>
      <c r="J145">
        <v>20</v>
      </c>
      <c r="K145">
        <v>634.75</v>
      </c>
      <c r="L145">
        <v>126.95</v>
      </c>
      <c r="M145">
        <v>507.8</v>
      </c>
      <c r="N145">
        <v>29.14</v>
      </c>
      <c r="O145">
        <v>145.69999999999999</v>
      </c>
      <c r="P145">
        <v>362.1</v>
      </c>
      <c r="Q145">
        <v>71.307601417881003</v>
      </c>
    </row>
    <row r="146" spans="1:17" x14ac:dyDescent="0.25">
      <c r="A146">
        <v>10145</v>
      </c>
      <c r="B146" s="1">
        <v>45802</v>
      </c>
      <c r="C146">
        <v>3648</v>
      </c>
      <c r="D146" t="s">
        <v>21</v>
      </c>
      <c r="E146" t="s">
        <v>18</v>
      </c>
      <c r="F146" t="s">
        <v>33</v>
      </c>
      <c r="G146" t="s">
        <v>30</v>
      </c>
      <c r="H146">
        <v>7</v>
      </c>
      <c r="I146">
        <v>138.72</v>
      </c>
      <c r="J146">
        <v>5</v>
      </c>
      <c r="K146">
        <v>971.04</v>
      </c>
      <c r="L146">
        <v>48.552</v>
      </c>
      <c r="M146">
        <v>922.48799999999903</v>
      </c>
      <c r="N146">
        <v>47.01</v>
      </c>
      <c r="O146">
        <v>329.07</v>
      </c>
      <c r="P146">
        <v>593.41799999999898</v>
      </c>
      <c r="Q146">
        <v>64.327991258422799</v>
      </c>
    </row>
    <row r="147" spans="1:17" x14ac:dyDescent="0.25">
      <c r="A147">
        <v>10146</v>
      </c>
      <c r="B147" s="1">
        <v>45803</v>
      </c>
      <c r="C147">
        <v>3566</v>
      </c>
      <c r="D147" t="s">
        <v>21</v>
      </c>
      <c r="E147" t="s">
        <v>18</v>
      </c>
      <c r="F147" t="s">
        <v>19</v>
      </c>
      <c r="G147" t="s">
        <v>28</v>
      </c>
      <c r="H147">
        <v>5</v>
      </c>
      <c r="I147">
        <v>63.43</v>
      </c>
      <c r="J147">
        <v>0</v>
      </c>
      <c r="K147">
        <v>317.14999999999998</v>
      </c>
      <c r="L147">
        <v>0</v>
      </c>
      <c r="M147">
        <v>317.14999999999998</v>
      </c>
      <c r="N147">
        <v>30.13</v>
      </c>
      <c r="O147">
        <v>150.65</v>
      </c>
      <c r="P147">
        <v>166.49999999999901</v>
      </c>
      <c r="Q147">
        <v>52.4988175941983</v>
      </c>
    </row>
    <row r="148" spans="1:17" x14ac:dyDescent="0.25">
      <c r="A148">
        <v>10147</v>
      </c>
      <c r="B148" s="1">
        <v>45804</v>
      </c>
      <c r="C148">
        <v>3678</v>
      </c>
      <c r="D148" t="s">
        <v>17</v>
      </c>
      <c r="E148" t="s">
        <v>24</v>
      </c>
      <c r="F148" t="s">
        <v>33</v>
      </c>
      <c r="G148" t="s">
        <v>20</v>
      </c>
      <c r="H148">
        <v>2</v>
      </c>
      <c r="I148">
        <v>68.16</v>
      </c>
      <c r="J148">
        <v>0</v>
      </c>
      <c r="K148">
        <v>136.32</v>
      </c>
      <c r="L148">
        <v>0</v>
      </c>
      <c r="M148">
        <v>136.32</v>
      </c>
      <c r="N148">
        <v>82.23</v>
      </c>
      <c r="O148">
        <v>164.46</v>
      </c>
      <c r="P148">
        <v>-28.14</v>
      </c>
      <c r="Q148">
        <v>-20.642605633802798</v>
      </c>
    </row>
    <row r="149" spans="1:17" x14ac:dyDescent="0.25">
      <c r="A149">
        <v>10148</v>
      </c>
      <c r="B149" s="1">
        <v>45805</v>
      </c>
      <c r="C149">
        <v>3373</v>
      </c>
      <c r="D149" t="s">
        <v>21</v>
      </c>
      <c r="E149" t="s">
        <v>18</v>
      </c>
      <c r="F149" t="s">
        <v>19</v>
      </c>
      <c r="G149" t="s">
        <v>22</v>
      </c>
      <c r="H149">
        <v>9</v>
      </c>
      <c r="I149">
        <v>102.27</v>
      </c>
      <c r="J149">
        <v>20</v>
      </c>
      <c r="K149">
        <v>920.43</v>
      </c>
      <c r="L149">
        <v>184.08600000000001</v>
      </c>
      <c r="M149">
        <v>736.34399999999903</v>
      </c>
      <c r="N149">
        <v>105.71</v>
      </c>
      <c r="O149">
        <v>951.39</v>
      </c>
      <c r="P149">
        <v>-215.04599999999999</v>
      </c>
      <c r="Q149">
        <v>-29.204556565952799</v>
      </c>
    </row>
    <row r="150" spans="1:17" x14ac:dyDescent="0.25">
      <c r="A150">
        <v>10149</v>
      </c>
      <c r="B150" s="1">
        <v>45806</v>
      </c>
      <c r="C150">
        <v>3710</v>
      </c>
      <c r="D150" t="s">
        <v>21</v>
      </c>
      <c r="E150" t="s">
        <v>18</v>
      </c>
      <c r="F150" t="s">
        <v>26</v>
      </c>
      <c r="G150" t="s">
        <v>30</v>
      </c>
      <c r="H150">
        <v>4</v>
      </c>
      <c r="I150">
        <v>214.41</v>
      </c>
      <c r="J150">
        <v>20</v>
      </c>
      <c r="K150">
        <v>857.64</v>
      </c>
      <c r="L150">
        <v>171.52799999999999</v>
      </c>
      <c r="M150">
        <v>686.11199999999997</v>
      </c>
      <c r="N150">
        <v>79.78</v>
      </c>
      <c r="O150">
        <v>319.12</v>
      </c>
      <c r="P150">
        <v>366.991999999999</v>
      </c>
      <c r="Q150">
        <v>53.488643253579497</v>
      </c>
    </row>
    <row r="151" spans="1:17" x14ac:dyDescent="0.25">
      <c r="A151">
        <v>10150</v>
      </c>
      <c r="B151" s="1">
        <v>45807</v>
      </c>
      <c r="C151">
        <v>3661</v>
      </c>
      <c r="D151" t="s">
        <v>23</v>
      </c>
      <c r="E151" t="s">
        <v>18</v>
      </c>
      <c r="F151" t="s">
        <v>26</v>
      </c>
      <c r="G151" t="s">
        <v>20</v>
      </c>
      <c r="H151">
        <v>2</v>
      </c>
      <c r="I151">
        <v>203.09</v>
      </c>
      <c r="J151">
        <v>0</v>
      </c>
      <c r="K151">
        <v>406.18</v>
      </c>
      <c r="L151">
        <v>0</v>
      </c>
      <c r="M151">
        <v>406.18</v>
      </c>
      <c r="N151">
        <v>15.25</v>
      </c>
      <c r="O151">
        <v>30.5</v>
      </c>
      <c r="P151">
        <v>375.68</v>
      </c>
      <c r="Q151">
        <v>92.491013836230195</v>
      </c>
    </row>
    <row r="152" spans="1:17" x14ac:dyDescent="0.25">
      <c r="A152">
        <v>10151</v>
      </c>
      <c r="B152" s="1">
        <v>45808</v>
      </c>
      <c r="C152">
        <v>3044</v>
      </c>
      <c r="D152" t="s">
        <v>29</v>
      </c>
      <c r="E152" t="s">
        <v>18</v>
      </c>
      <c r="F152" t="s">
        <v>26</v>
      </c>
      <c r="G152" t="s">
        <v>20</v>
      </c>
      <c r="H152">
        <v>9</v>
      </c>
      <c r="I152">
        <v>197.52</v>
      </c>
      <c r="J152">
        <v>5</v>
      </c>
      <c r="K152">
        <v>1777.68</v>
      </c>
      <c r="L152">
        <v>88.884</v>
      </c>
      <c r="M152">
        <v>1688.796</v>
      </c>
      <c r="N152">
        <v>90.6</v>
      </c>
      <c r="O152">
        <v>815.4</v>
      </c>
      <c r="P152">
        <v>873.39599999999996</v>
      </c>
      <c r="Q152">
        <v>51.717081281575702</v>
      </c>
    </row>
    <row r="153" spans="1:17" x14ac:dyDescent="0.25">
      <c r="A153">
        <v>10152</v>
      </c>
      <c r="B153" s="1">
        <v>45809</v>
      </c>
      <c r="C153">
        <v>3987</v>
      </c>
      <c r="D153" t="s">
        <v>17</v>
      </c>
      <c r="E153" t="s">
        <v>18</v>
      </c>
      <c r="F153" t="s">
        <v>26</v>
      </c>
      <c r="G153" t="s">
        <v>30</v>
      </c>
      <c r="H153">
        <v>8</v>
      </c>
      <c r="I153">
        <v>137.16</v>
      </c>
      <c r="J153">
        <v>20</v>
      </c>
      <c r="K153">
        <v>1097.28</v>
      </c>
      <c r="L153">
        <v>219.45599999999999</v>
      </c>
      <c r="M153">
        <v>877.82399999999996</v>
      </c>
      <c r="N153">
        <v>108.37</v>
      </c>
      <c r="O153">
        <v>866.96</v>
      </c>
      <c r="P153">
        <v>10.8639999999999</v>
      </c>
      <c r="Q153">
        <v>1.2376057159521601</v>
      </c>
    </row>
    <row r="154" spans="1:17" x14ac:dyDescent="0.25">
      <c r="A154">
        <v>10153</v>
      </c>
      <c r="B154" s="1">
        <v>45810</v>
      </c>
      <c r="C154">
        <v>3647</v>
      </c>
      <c r="D154" t="s">
        <v>17</v>
      </c>
      <c r="E154" t="s">
        <v>24</v>
      </c>
      <c r="F154" t="s">
        <v>33</v>
      </c>
      <c r="G154" t="s">
        <v>31</v>
      </c>
      <c r="H154">
        <v>3</v>
      </c>
      <c r="I154">
        <v>222.38</v>
      </c>
      <c r="J154">
        <v>5</v>
      </c>
      <c r="K154">
        <v>667.14</v>
      </c>
      <c r="L154">
        <v>33.356999999999999</v>
      </c>
      <c r="M154">
        <v>633.78300000000002</v>
      </c>
      <c r="N154">
        <v>30.64</v>
      </c>
      <c r="O154">
        <v>91.92</v>
      </c>
      <c r="P154">
        <v>541.86300000000006</v>
      </c>
      <c r="Q154">
        <v>85.496613194105805</v>
      </c>
    </row>
    <row r="155" spans="1:17" x14ac:dyDescent="0.25">
      <c r="A155">
        <v>10154</v>
      </c>
      <c r="B155" s="1">
        <v>45811</v>
      </c>
      <c r="C155">
        <v>3721</v>
      </c>
      <c r="D155" t="s">
        <v>21</v>
      </c>
      <c r="E155" t="s">
        <v>24</v>
      </c>
      <c r="F155" t="s">
        <v>19</v>
      </c>
      <c r="G155" t="s">
        <v>27</v>
      </c>
      <c r="H155">
        <v>9</v>
      </c>
      <c r="I155">
        <v>20.7</v>
      </c>
      <c r="J155">
        <v>10</v>
      </c>
      <c r="K155">
        <v>186.29999999999899</v>
      </c>
      <c r="L155">
        <v>18.63</v>
      </c>
      <c r="M155">
        <v>167.67</v>
      </c>
      <c r="N155">
        <v>75.25</v>
      </c>
      <c r="O155">
        <v>677.25</v>
      </c>
      <c r="P155">
        <v>-509.58</v>
      </c>
      <c r="Q155">
        <v>-303.91841116478798</v>
      </c>
    </row>
    <row r="156" spans="1:17" x14ac:dyDescent="0.25">
      <c r="A156">
        <v>10155</v>
      </c>
      <c r="B156" s="1">
        <v>45812</v>
      </c>
      <c r="C156">
        <v>3495</v>
      </c>
      <c r="D156" t="s">
        <v>21</v>
      </c>
      <c r="E156" t="s">
        <v>24</v>
      </c>
      <c r="F156" t="s">
        <v>26</v>
      </c>
      <c r="G156" t="s">
        <v>31</v>
      </c>
      <c r="H156">
        <v>9</v>
      </c>
      <c r="I156">
        <v>50.19</v>
      </c>
      <c r="J156">
        <v>10</v>
      </c>
      <c r="K156">
        <v>451.71</v>
      </c>
      <c r="L156">
        <v>45.170999999999999</v>
      </c>
      <c r="M156">
        <v>406.53899999999999</v>
      </c>
      <c r="N156">
        <v>145.76</v>
      </c>
      <c r="O156">
        <v>1311.84</v>
      </c>
      <c r="P156">
        <v>-905.30099999999902</v>
      </c>
      <c r="Q156">
        <v>-222.68490845896699</v>
      </c>
    </row>
    <row r="157" spans="1:17" x14ac:dyDescent="0.25">
      <c r="A157">
        <v>10156</v>
      </c>
      <c r="B157" s="1">
        <v>45813</v>
      </c>
      <c r="C157">
        <v>3197</v>
      </c>
      <c r="D157" t="s">
        <v>17</v>
      </c>
      <c r="E157" t="s">
        <v>18</v>
      </c>
      <c r="F157" t="s">
        <v>26</v>
      </c>
      <c r="G157" t="s">
        <v>32</v>
      </c>
      <c r="H157">
        <v>7</v>
      </c>
      <c r="I157">
        <v>119.68</v>
      </c>
      <c r="J157">
        <v>15</v>
      </c>
      <c r="K157">
        <v>837.76</v>
      </c>
      <c r="L157">
        <v>125.66399999999901</v>
      </c>
      <c r="M157">
        <v>712.096</v>
      </c>
      <c r="N157">
        <v>124.93</v>
      </c>
      <c r="O157">
        <v>874.51</v>
      </c>
      <c r="P157">
        <v>-162.41399999999999</v>
      </c>
      <c r="Q157">
        <v>-22.807879836426501</v>
      </c>
    </row>
    <row r="158" spans="1:17" x14ac:dyDescent="0.25">
      <c r="A158">
        <v>10157</v>
      </c>
      <c r="B158" s="1">
        <v>45814</v>
      </c>
      <c r="C158">
        <v>3100</v>
      </c>
      <c r="D158" t="s">
        <v>17</v>
      </c>
      <c r="E158" t="s">
        <v>24</v>
      </c>
      <c r="F158" t="s">
        <v>26</v>
      </c>
      <c r="G158" t="s">
        <v>30</v>
      </c>
      <c r="H158">
        <v>7</v>
      </c>
      <c r="I158">
        <v>196.24</v>
      </c>
      <c r="J158">
        <v>15</v>
      </c>
      <c r="K158">
        <v>1373.68</v>
      </c>
      <c r="L158">
        <v>206.05199999999999</v>
      </c>
      <c r="M158">
        <v>1167.6279999999999</v>
      </c>
      <c r="N158">
        <v>71.11</v>
      </c>
      <c r="O158">
        <v>497.77</v>
      </c>
      <c r="P158">
        <v>669.85799999999995</v>
      </c>
      <c r="Q158">
        <v>57.369127838660901</v>
      </c>
    </row>
    <row r="159" spans="1:17" x14ac:dyDescent="0.25">
      <c r="A159">
        <v>10158</v>
      </c>
      <c r="B159" s="1">
        <v>45815</v>
      </c>
      <c r="C159">
        <v>3180</v>
      </c>
      <c r="D159" t="s">
        <v>23</v>
      </c>
      <c r="E159" t="s">
        <v>24</v>
      </c>
      <c r="F159" t="s">
        <v>26</v>
      </c>
      <c r="G159" t="s">
        <v>30</v>
      </c>
      <c r="H159">
        <v>6</v>
      </c>
      <c r="I159">
        <v>122.93</v>
      </c>
      <c r="J159">
        <v>15</v>
      </c>
      <c r="K159">
        <v>737.58</v>
      </c>
      <c r="L159">
        <v>110.637</v>
      </c>
      <c r="M159">
        <v>626.94299999999998</v>
      </c>
      <c r="N159">
        <v>42.57</v>
      </c>
      <c r="O159">
        <v>255.42</v>
      </c>
      <c r="P159">
        <v>371.522999999999</v>
      </c>
      <c r="Q159">
        <v>59.259454208755798</v>
      </c>
    </row>
    <row r="160" spans="1:17" x14ac:dyDescent="0.25">
      <c r="A160">
        <v>10159</v>
      </c>
      <c r="B160" s="1">
        <v>45816</v>
      </c>
      <c r="C160">
        <v>3169</v>
      </c>
      <c r="D160" t="s">
        <v>29</v>
      </c>
      <c r="E160" t="s">
        <v>18</v>
      </c>
      <c r="F160" t="s">
        <v>33</v>
      </c>
      <c r="G160" t="s">
        <v>28</v>
      </c>
      <c r="H160">
        <v>3</v>
      </c>
      <c r="I160">
        <v>248.77</v>
      </c>
      <c r="J160">
        <v>0</v>
      </c>
      <c r="K160">
        <v>746.31</v>
      </c>
      <c r="L160">
        <v>0</v>
      </c>
      <c r="M160">
        <v>746.31</v>
      </c>
      <c r="N160">
        <v>28.24</v>
      </c>
      <c r="O160">
        <v>84.72</v>
      </c>
      <c r="P160">
        <v>661.59</v>
      </c>
      <c r="Q160">
        <v>88.648148892551305</v>
      </c>
    </row>
    <row r="161" spans="1:17" x14ac:dyDescent="0.25">
      <c r="A161">
        <v>10160</v>
      </c>
      <c r="B161" s="1">
        <v>45817</v>
      </c>
      <c r="C161">
        <v>3029</v>
      </c>
      <c r="D161" t="s">
        <v>21</v>
      </c>
      <c r="E161" t="s">
        <v>18</v>
      </c>
      <c r="F161" t="s">
        <v>33</v>
      </c>
      <c r="G161" t="s">
        <v>31</v>
      </c>
      <c r="H161">
        <v>3</v>
      </c>
      <c r="I161">
        <v>238.86</v>
      </c>
      <c r="J161">
        <v>15</v>
      </c>
      <c r="K161">
        <v>716.58</v>
      </c>
      <c r="L161">
        <v>107.48699999999999</v>
      </c>
      <c r="M161">
        <v>609.09299999999996</v>
      </c>
      <c r="N161">
        <v>11.65</v>
      </c>
      <c r="O161">
        <v>34.950000000000003</v>
      </c>
      <c r="P161">
        <v>574.14300000000003</v>
      </c>
      <c r="Q161">
        <v>94.261959996256707</v>
      </c>
    </row>
    <row r="162" spans="1:17" x14ac:dyDescent="0.25">
      <c r="A162">
        <v>10161</v>
      </c>
      <c r="B162" s="1">
        <v>45818</v>
      </c>
      <c r="C162">
        <v>3282</v>
      </c>
      <c r="D162" t="s">
        <v>29</v>
      </c>
      <c r="E162" t="s">
        <v>24</v>
      </c>
      <c r="F162" t="s">
        <v>33</v>
      </c>
      <c r="G162" t="s">
        <v>31</v>
      </c>
      <c r="H162">
        <v>5</v>
      </c>
      <c r="I162">
        <v>226.48</v>
      </c>
      <c r="J162">
        <v>0</v>
      </c>
      <c r="K162">
        <v>1132.3999999999901</v>
      </c>
      <c r="L162">
        <v>0</v>
      </c>
      <c r="M162">
        <v>1132.3999999999901</v>
      </c>
      <c r="N162">
        <v>38.99</v>
      </c>
      <c r="O162">
        <v>194.95</v>
      </c>
      <c r="P162">
        <v>937.44999999999902</v>
      </c>
      <c r="Q162">
        <v>82.784351819145101</v>
      </c>
    </row>
    <row r="163" spans="1:17" x14ac:dyDescent="0.25">
      <c r="A163">
        <v>10162</v>
      </c>
      <c r="B163" s="1">
        <v>45819</v>
      </c>
      <c r="C163">
        <v>3832</v>
      </c>
      <c r="D163" t="s">
        <v>29</v>
      </c>
      <c r="E163" t="s">
        <v>18</v>
      </c>
      <c r="F163" t="s">
        <v>25</v>
      </c>
      <c r="G163" t="s">
        <v>30</v>
      </c>
      <c r="H163">
        <v>8</v>
      </c>
      <c r="I163">
        <v>206.58</v>
      </c>
      <c r="J163">
        <v>15</v>
      </c>
      <c r="K163">
        <v>1652.64</v>
      </c>
      <c r="L163">
        <v>247.89599999999999</v>
      </c>
      <c r="M163">
        <v>1404.7439999999999</v>
      </c>
      <c r="N163">
        <v>75.81</v>
      </c>
      <c r="O163">
        <v>606.48</v>
      </c>
      <c r="P163">
        <v>798.26400000000001</v>
      </c>
      <c r="Q163">
        <v>56.826297175855501</v>
      </c>
    </row>
    <row r="164" spans="1:17" x14ac:dyDescent="0.25">
      <c r="A164">
        <v>10163</v>
      </c>
      <c r="B164" s="1">
        <v>45820</v>
      </c>
      <c r="C164">
        <v>3764</v>
      </c>
      <c r="D164" t="s">
        <v>29</v>
      </c>
      <c r="E164" t="s">
        <v>24</v>
      </c>
      <c r="F164" t="s">
        <v>26</v>
      </c>
      <c r="G164" t="s">
        <v>28</v>
      </c>
      <c r="H164">
        <v>9</v>
      </c>
      <c r="I164">
        <v>77.650000000000006</v>
      </c>
      <c r="J164">
        <v>5</v>
      </c>
      <c r="K164">
        <v>698.85</v>
      </c>
      <c r="L164">
        <v>34.942500000000003</v>
      </c>
      <c r="M164">
        <v>663.90750000000003</v>
      </c>
      <c r="N164">
        <v>77.290000000000006</v>
      </c>
      <c r="O164">
        <v>695.61</v>
      </c>
      <c r="P164">
        <v>-31.702499999999901</v>
      </c>
      <c r="Q164">
        <v>-4.7751381028230497</v>
      </c>
    </row>
    <row r="165" spans="1:17" x14ac:dyDescent="0.25">
      <c r="A165">
        <v>10164</v>
      </c>
      <c r="B165" s="1">
        <v>45821</v>
      </c>
      <c r="C165">
        <v>3190</v>
      </c>
      <c r="D165" t="s">
        <v>21</v>
      </c>
      <c r="E165" t="s">
        <v>18</v>
      </c>
      <c r="F165" t="s">
        <v>33</v>
      </c>
      <c r="G165" t="s">
        <v>20</v>
      </c>
      <c r="H165">
        <v>6</v>
      </c>
      <c r="I165">
        <v>167</v>
      </c>
      <c r="J165">
        <v>15</v>
      </c>
      <c r="K165">
        <v>1002</v>
      </c>
      <c r="L165">
        <v>150.29999999999899</v>
      </c>
      <c r="M165">
        <v>851.7</v>
      </c>
      <c r="N165">
        <v>30.03</v>
      </c>
      <c r="O165">
        <v>180.18</v>
      </c>
      <c r="P165">
        <v>671.52</v>
      </c>
      <c r="Q165">
        <v>78.844663613948498</v>
      </c>
    </row>
    <row r="166" spans="1:17" x14ac:dyDescent="0.25">
      <c r="A166">
        <v>10165</v>
      </c>
      <c r="B166" s="1">
        <v>45822</v>
      </c>
      <c r="C166">
        <v>3726</v>
      </c>
      <c r="D166" t="s">
        <v>29</v>
      </c>
      <c r="E166" t="s">
        <v>24</v>
      </c>
      <c r="F166" t="s">
        <v>26</v>
      </c>
      <c r="G166" t="s">
        <v>22</v>
      </c>
      <c r="H166">
        <v>7</v>
      </c>
      <c r="I166">
        <v>22.05</v>
      </c>
      <c r="J166">
        <v>15</v>
      </c>
      <c r="K166">
        <v>154.35</v>
      </c>
      <c r="L166">
        <v>23.1525</v>
      </c>
      <c r="M166">
        <v>131.19749999999999</v>
      </c>
      <c r="N166">
        <v>70.89</v>
      </c>
      <c r="O166">
        <v>496.23</v>
      </c>
      <c r="P166">
        <v>-365.03250000000003</v>
      </c>
      <c r="Q166">
        <v>-278.23129251700601</v>
      </c>
    </row>
    <row r="167" spans="1:17" x14ac:dyDescent="0.25">
      <c r="A167">
        <v>10166</v>
      </c>
      <c r="B167" s="1">
        <v>45823</v>
      </c>
      <c r="C167">
        <v>3738</v>
      </c>
      <c r="D167" t="s">
        <v>29</v>
      </c>
      <c r="E167" t="s">
        <v>18</v>
      </c>
      <c r="F167" t="s">
        <v>25</v>
      </c>
      <c r="G167" t="s">
        <v>32</v>
      </c>
      <c r="H167">
        <v>3</v>
      </c>
      <c r="I167">
        <v>206.63</v>
      </c>
      <c r="J167">
        <v>15</v>
      </c>
      <c r="K167">
        <v>619.89</v>
      </c>
      <c r="L167">
        <v>92.983499999999907</v>
      </c>
      <c r="M167">
        <v>526.90650000000005</v>
      </c>
      <c r="N167">
        <v>68.959999999999994</v>
      </c>
      <c r="O167">
        <v>206.88</v>
      </c>
      <c r="P167">
        <v>320.0265</v>
      </c>
      <c r="Q167">
        <v>60.736866977347901</v>
      </c>
    </row>
    <row r="168" spans="1:17" x14ac:dyDescent="0.25">
      <c r="A168">
        <v>10167</v>
      </c>
      <c r="B168" s="1">
        <v>45824</v>
      </c>
      <c r="C168">
        <v>3012</v>
      </c>
      <c r="D168" t="s">
        <v>23</v>
      </c>
      <c r="E168" t="s">
        <v>18</v>
      </c>
      <c r="F168" t="s">
        <v>33</v>
      </c>
      <c r="G168" t="s">
        <v>27</v>
      </c>
      <c r="H168">
        <v>4</v>
      </c>
      <c r="I168">
        <v>87.63</v>
      </c>
      <c r="J168">
        <v>0</v>
      </c>
      <c r="K168">
        <v>350.52</v>
      </c>
      <c r="L168">
        <v>0</v>
      </c>
      <c r="M168">
        <v>350.52</v>
      </c>
      <c r="N168">
        <v>122.38</v>
      </c>
      <c r="O168">
        <v>489.52</v>
      </c>
      <c r="P168">
        <v>-139</v>
      </c>
      <c r="Q168">
        <v>-39.655369165810797</v>
      </c>
    </row>
    <row r="169" spans="1:17" x14ac:dyDescent="0.25">
      <c r="A169">
        <v>10168</v>
      </c>
      <c r="B169" s="1">
        <v>45825</v>
      </c>
      <c r="C169">
        <v>3646</v>
      </c>
      <c r="D169" t="s">
        <v>23</v>
      </c>
      <c r="E169" t="s">
        <v>24</v>
      </c>
      <c r="F169" t="s">
        <v>19</v>
      </c>
      <c r="G169" t="s">
        <v>28</v>
      </c>
      <c r="H169">
        <v>9</v>
      </c>
      <c r="I169">
        <v>56.96</v>
      </c>
      <c r="J169">
        <v>20</v>
      </c>
      <c r="K169">
        <v>512.64</v>
      </c>
      <c r="L169">
        <v>102.52800000000001</v>
      </c>
      <c r="M169">
        <v>410.111999999999</v>
      </c>
      <c r="N169">
        <v>138.59</v>
      </c>
      <c r="O169">
        <v>1247.31</v>
      </c>
      <c r="P169">
        <v>-837.19799999999998</v>
      </c>
      <c r="Q169">
        <v>-204.13886938202199</v>
      </c>
    </row>
    <row r="170" spans="1:17" x14ac:dyDescent="0.25">
      <c r="A170">
        <v>10169</v>
      </c>
      <c r="B170" s="1">
        <v>45826</v>
      </c>
      <c r="C170">
        <v>3488</v>
      </c>
      <c r="D170" t="s">
        <v>29</v>
      </c>
      <c r="E170" t="s">
        <v>24</v>
      </c>
      <c r="F170" t="s">
        <v>19</v>
      </c>
      <c r="G170" t="s">
        <v>28</v>
      </c>
      <c r="H170">
        <v>3</v>
      </c>
      <c r="I170">
        <v>141.75</v>
      </c>
      <c r="J170">
        <v>15</v>
      </c>
      <c r="K170">
        <v>425.25</v>
      </c>
      <c r="L170">
        <v>63.787499999999902</v>
      </c>
      <c r="M170">
        <v>361.46249999999998</v>
      </c>
      <c r="N170">
        <v>143.81</v>
      </c>
      <c r="O170">
        <v>431.43</v>
      </c>
      <c r="P170">
        <v>-69.967500000000001</v>
      </c>
      <c r="Q170">
        <v>-19.356779748936599</v>
      </c>
    </row>
    <row r="171" spans="1:17" x14ac:dyDescent="0.25">
      <c r="A171">
        <v>10170</v>
      </c>
      <c r="B171" s="1">
        <v>45827</v>
      </c>
      <c r="C171">
        <v>3930</v>
      </c>
      <c r="D171" t="s">
        <v>23</v>
      </c>
      <c r="E171" t="s">
        <v>24</v>
      </c>
      <c r="F171" t="s">
        <v>33</v>
      </c>
      <c r="G171" t="s">
        <v>20</v>
      </c>
      <c r="H171">
        <v>4</v>
      </c>
      <c r="I171">
        <v>156.47</v>
      </c>
      <c r="J171">
        <v>10</v>
      </c>
      <c r="K171">
        <v>625.88</v>
      </c>
      <c r="L171">
        <v>62.588000000000001</v>
      </c>
      <c r="M171">
        <v>563.29200000000003</v>
      </c>
      <c r="N171">
        <v>75.62</v>
      </c>
      <c r="O171">
        <v>302.48</v>
      </c>
      <c r="P171">
        <v>260.81200000000001</v>
      </c>
      <c r="Q171">
        <v>46.301385427096399</v>
      </c>
    </row>
    <row r="172" spans="1:17" x14ac:dyDescent="0.25">
      <c r="A172">
        <v>10171</v>
      </c>
      <c r="B172" s="1">
        <v>45828</v>
      </c>
      <c r="C172">
        <v>3443</v>
      </c>
      <c r="D172" t="s">
        <v>17</v>
      </c>
      <c r="E172" t="s">
        <v>24</v>
      </c>
      <c r="F172" t="s">
        <v>33</v>
      </c>
      <c r="G172" t="s">
        <v>31</v>
      </c>
      <c r="H172">
        <v>4</v>
      </c>
      <c r="I172">
        <v>108.09</v>
      </c>
      <c r="J172">
        <v>15</v>
      </c>
      <c r="K172">
        <v>432.36</v>
      </c>
      <c r="L172">
        <v>64.853999999999999</v>
      </c>
      <c r="M172">
        <v>367.50599999999997</v>
      </c>
      <c r="N172">
        <v>128.38999999999999</v>
      </c>
      <c r="O172">
        <v>513.55999999999995</v>
      </c>
      <c r="P172">
        <v>-146.05399999999901</v>
      </c>
      <c r="Q172">
        <v>-39.741936186075797</v>
      </c>
    </row>
    <row r="173" spans="1:17" x14ac:dyDescent="0.25">
      <c r="A173">
        <v>10172</v>
      </c>
      <c r="B173" s="1">
        <v>45829</v>
      </c>
      <c r="C173">
        <v>3106</v>
      </c>
      <c r="D173" t="s">
        <v>21</v>
      </c>
      <c r="E173" t="s">
        <v>18</v>
      </c>
      <c r="F173" t="s">
        <v>26</v>
      </c>
      <c r="G173" t="s">
        <v>27</v>
      </c>
      <c r="H173">
        <v>7</v>
      </c>
      <c r="I173">
        <v>148</v>
      </c>
      <c r="J173">
        <v>10</v>
      </c>
      <c r="K173">
        <v>1036</v>
      </c>
      <c r="L173">
        <v>103.6</v>
      </c>
      <c r="M173">
        <v>932.4</v>
      </c>
      <c r="N173">
        <v>94.93</v>
      </c>
      <c r="O173">
        <v>664.51</v>
      </c>
      <c r="P173">
        <v>267.89</v>
      </c>
      <c r="Q173">
        <v>28.731231231231199</v>
      </c>
    </row>
    <row r="174" spans="1:17" x14ac:dyDescent="0.25">
      <c r="A174">
        <v>10173</v>
      </c>
      <c r="B174" s="1">
        <v>45830</v>
      </c>
      <c r="C174">
        <v>3622</v>
      </c>
      <c r="D174" t="s">
        <v>29</v>
      </c>
      <c r="E174" t="s">
        <v>24</v>
      </c>
      <c r="F174" t="s">
        <v>25</v>
      </c>
      <c r="G174" t="s">
        <v>22</v>
      </c>
      <c r="H174">
        <v>5</v>
      </c>
      <c r="I174">
        <v>210.58</v>
      </c>
      <c r="J174">
        <v>20</v>
      </c>
      <c r="K174">
        <v>1052.9000000000001</v>
      </c>
      <c r="L174">
        <v>210.58</v>
      </c>
      <c r="M174">
        <v>842.32</v>
      </c>
      <c r="N174">
        <v>19.75</v>
      </c>
      <c r="O174">
        <v>98.75</v>
      </c>
      <c r="P174">
        <v>743.57</v>
      </c>
      <c r="Q174">
        <v>88.276427011112105</v>
      </c>
    </row>
    <row r="175" spans="1:17" x14ac:dyDescent="0.25">
      <c r="A175">
        <v>10174</v>
      </c>
      <c r="B175" s="1">
        <v>45831</v>
      </c>
      <c r="C175">
        <v>3884</v>
      </c>
      <c r="D175" t="s">
        <v>29</v>
      </c>
      <c r="E175" t="s">
        <v>24</v>
      </c>
      <c r="F175" t="s">
        <v>33</v>
      </c>
      <c r="G175" t="s">
        <v>28</v>
      </c>
      <c r="H175">
        <v>2</v>
      </c>
      <c r="I175">
        <v>84.9</v>
      </c>
      <c r="J175">
        <v>10</v>
      </c>
      <c r="K175">
        <v>169.8</v>
      </c>
      <c r="L175">
        <v>16.98</v>
      </c>
      <c r="M175">
        <v>152.82</v>
      </c>
      <c r="N175">
        <v>15.57</v>
      </c>
      <c r="O175">
        <v>31.14</v>
      </c>
      <c r="P175">
        <v>121.68</v>
      </c>
      <c r="Q175">
        <v>79.623085983509995</v>
      </c>
    </row>
    <row r="176" spans="1:17" x14ac:dyDescent="0.25">
      <c r="A176">
        <v>10175</v>
      </c>
      <c r="B176" s="1">
        <v>45832</v>
      </c>
      <c r="C176">
        <v>3497</v>
      </c>
      <c r="D176" t="s">
        <v>23</v>
      </c>
      <c r="E176" t="s">
        <v>24</v>
      </c>
      <c r="F176" t="s">
        <v>19</v>
      </c>
      <c r="G176" t="s">
        <v>30</v>
      </c>
      <c r="H176">
        <v>1</v>
      </c>
      <c r="I176">
        <v>142.79</v>
      </c>
      <c r="J176">
        <v>15</v>
      </c>
      <c r="K176">
        <v>142.79</v>
      </c>
      <c r="L176">
        <v>21.418499999999899</v>
      </c>
      <c r="M176">
        <v>121.3715</v>
      </c>
      <c r="N176">
        <v>92.74</v>
      </c>
      <c r="O176">
        <v>92.74</v>
      </c>
      <c r="P176">
        <v>28.631499999999999</v>
      </c>
      <c r="Q176">
        <v>23.589969638671299</v>
      </c>
    </row>
    <row r="177" spans="1:17" x14ac:dyDescent="0.25">
      <c r="A177">
        <v>10176</v>
      </c>
      <c r="B177" s="1">
        <v>45833</v>
      </c>
      <c r="C177">
        <v>3349</v>
      </c>
      <c r="D177" t="s">
        <v>21</v>
      </c>
      <c r="E177" t="s">
        <v>24</v>
      </c>
      <c r="F177" t="s">
        <v>33</v>
      </c>
      <c r="G177" t="s">
        <v>27</v>
      </c>
      <c r="H177">
        <v>8</v>
      </c>
      <c r="I177">
        <v>143.27000000000001</v>
      </c>
      <c r="J177">
        <v>20</v>
      </c>
      <c r="K177">
        <v>1146.1600000000001</v>
      </c>
      <c r="L177">
        <v>229.232</v>
      </c>
      <c r="M177">
        <v>916.928</v>
      </c>
      <c r="N177">
        <v>103.84</v>
      </c>
      <c r="O177">
        <v>830.72</v>
      </c>
      <c r="P177">
        <v>86.207999999999998</v>
      </c>
      <c r="Q177">
        <v>9.4018287150136093</v>
      </c>
    </row>
    <row r="178" spans="1:17" x14ac:dyDescent="0.25">
      <c r="A178">
        <v>10177</v>
      </c>
      <c r="B178" s="1">
        <v>45834</v>
      </c>
      <c r="C178">
        <v>3486</v>
      </c>
      <c r="D178" t="s">
        <v>29</v>
      </c>
      <c r="E178" t="s">
        <v>24</v>
      </c>
      <c r="F178" t="s">
        <v>26</v>
      </c>
      <c r="G178" t="s">
        <v>28</v>
      </c>
      <c r="H178">
        <v>8</v>
      </c>
      <c r="I178">
        <v>85.06</v>
      </c>
      <c r="J178">
        <v>5</v>
      </c>
      <c r="K178">
        <v>680.48</v>
      </c>
      <c r="L178">
        <v>34.024000000000001</v>
      </c>
      <c r="M178">
        <v>646.45600000000002</v>
      </c>
      <c r="N178">
        <v>99.49</v>
      </c>
      <c r="O178">
        <v>795.92</v>
      </c>
      <c r="P178">
        <v>-149.463999999999</v>
      </c>
      <c r="Q178">
        <v>-23.120521736978201</v>
      </c>
    </row>
    <row r="179" spans="1:17" x14ac:dyDescent="0.25">
      <c r="A179">
        <v>10178</v>
      </c>
      <c r="B179" s="1">
        <v>45835</v>
      </c>
      <c r="C179">
        <v>3234</v>
      </c>
      <c r="D179" t="s">
        <v>23</v>
      </c>
      <c r="E179" t="s">
        <v>24</v>
      </c>
      <c r="F179" t="s">
        <v>33</v>
      </c>
      <c r="G179" t="s">
        <v>32</v>
      </c>
      <c r="H179">
        <v>7</v>
      </c>
      <c r="I179">
        <v>127.31</v>
      </c>
      <c r="J179">
        <v>15</v>
      </c>
      <c r="K179">
        <v>891.17</v>
      </c>
      <c r="L179">
        <v>133.6755</v>
      </c>
      <c r="M179">
        <v>757.49450000000002</v>
      </c>
      <c r="N179">
        <v>75.17</v>
      </c>
      <c r="O179">
        <v>526.19000000000005</v>
      </c>
      <c r="P179">
        <v>231.304499999999</v>
      </c>
      <c r="Q179">
        <v>30.53546923443</v>
      </c>
    </row>
    <row r="180" spans="1:17" x14ac:dyDescent="0.25">
      <c r="A180">
        <v>10179</v>
      </c>
      <c r="B180" s="1">
        <v>45836</v>
      </c>
      <c r="C180">
        <v>3529</v>
      </c>
      <c r="D180" t="s">
        <v>21</v>
      </c>
      <c r="E180" t="s">
        <v>18</v>
      </c>
      <c r="F180" t="s">
        <v>26</v>
      </c>
      <c r="G180" t="s">
        <v>27</v>
      </c>
      <c r="H180">
        <v>7</v>
      </c>
      <c r="I180">
        <v>75.78</v>
      </c>
      <c r="J180">
        <v>15</v>
      </c>
      <c r="K180">
        <v>530.46</v>
      </c>
      <c r="L180">
        <v>79.569000000000003</v>
      </c>
      <c r="M180">
        <v>450.89100000000002</v>
      </c>
      <c r="N180">
        <v>90.94</v>
      </c>
      <c r="O180">
        <v>636.57999999999902</v>
      </c>
      <c r="P180">
        <v>-185.688999999999</v>
      </c>
      <c r="Q180">
        <v>-41.182680514802797</v>
      </c>
    </row>
    <row r="181" spans="1:17" x14ac:dyDescent="0.25">
      <c r="A181">
        <v>10180</v>
      </c>
      <c r="B181" s="1">
        <v>45837</v>
      </c>
      <c r="C181">
        <v>3005</v>
      </c>
      <c r="D181" t="s">
        <v>17</v>
      </c>
      <c r="E181" t="s">
        <v>18</v>
      </c>
      <c r="F181" t="s">
        <v>25</v>
      </c>
      <c r="G181" t="s">
        <v>28</v>
      </c>
      <c r="H181">
        <v>4</v>
      </c>
      <c r="I181">
        <v>108.87</v>
      </c>
      <c r="J181">
        <v>10</v>
      </c>
      <c r="K181">
        <v>435.48</v>
      </c>
      <c r="L181">
        <v>43.548000000000002</v>
      </c>
      <c r="M181">
        <v>391.93200000000002</v>
      </c>
      <c r="N181">
        <v>101.15</v>
      </c>
      <c r="O181">
        <v>404.6</v>
      </c>
      <c r="P181">
        <v>-12.667999999999999</v>
      </c>
      <c r="Q181">
        <v>-3.2321933396609599</v>
      </c>
    </row>
    <row r="182" spans="1:17" x14ac:dyDescent="0.25">
      <c r="A182">
        <v>10181</v>
      </c>
      <c r="B182" s="1">
        <v>45838</v>
      </c>
      <c r="C182">
        <v>3847</v>
      </c>
      <c r="D182" t="s">
        <v>23</v>
      </c>
      <c r="E182" t="s">
        <v>18</v>
      </c>
      <c r="F182" t="s">
        <v>26</v>
      </c>
      <c r="G182" t="s">
        <v>27</v>
      </c>
      <c r="H182">
        <v>9</v>
      </c>
      <c r="I182">
        <v>77.73</v>
      </c>
      <c r="J182">
        <v>0</v>
      </c>
      <c r="K182">
        <v>699.57</v>
      </c>
      <c r="L182">
        <v>0</v>
      </c>
      <c r="M182">
        <v>699.57</v>
      </c>
      <c r="N182">
        <v>107.01</v>
      </c>
      <c r="O182">
        <v>963.09</v>
      </c>
      <c r="P182">
        <v>-263.52</v>
      </c>
      <c r="Q182">
        <v>-37.668853724430697</v>
      </c>
    </row>
    <row r="183" spans="1:17" x14ac:dyDescent="0.25">
      <c r="A183">
        <v>10182</v>
      </c>
      <c r="B183" s="1">
        <v>45839</v>
      </c>
      <c r="C183">
        <v>3049</v>
      </c>
      <c r="D183" t="s">
        <v>23</v>
      </c>
      <c r="E183" t="s">
        <v>24</v>
      </c>
      <c r="F183" t="s">
        <v>26</v>
      </c>
      <c r="G183" t="s">
        <v>32</v>
      </c>
      <c r="H183">
        <v>4</v>
      </c>
      <c r="I183">
        <v>84.75</v>
      </c>
      <c r="J183">
        <v>5</v>
      </c>
      <c r="K183">
        <v>339</v>
      </c>
      <c r="L183">
        <v>16.95</v>
      </c>
      <c r="M183">
        <v>322.05</v>
      </c>
      <c r="N183">
        <v>25.87</v>
      </c>
      <c r="O183">
        <v>103.48</v>
      </c>
      <c r="P183">
        <v>218.57</v>
      </c>
      <c r="Q183">
        <v>67.868343424933997</v>
      </c>
    </row>
    <row r="184" spans="1:17" x14ac:dyDescent="0.25">
      <c r="A184">
        <v>10183</v>
      </c>
      <c r="B184" s="1">
        <v>45840</v>
      </c>
      <c r="C184">
        <v>3438</v>
      </c>
      <c r="D184" t="s">
        <v>23</v>
      </c>
      <c r="E184" t="s">
        <v>24</v>
      </c>
      <c r="F184" t="s">
        <v>26</v>
      </c>
      <c r="G184" t="s">
        <v>28</v>
      </c>
      <c r="H184">
        <v>3</v>
      </c>
      <c r="I184">
        <v>193.29</v>
      </c>
      <c r="J184">
        <v>5</v>
      </c>
      <c r="K184">
        <v>579.87</v>
      </c>
      <c r="L184">
        <v>28.993500000000001</v>
      </c>
      <c r="M184">
        <v>550.87649999999996</v>
      </c>
      <c r="N184">
        <v>74.03</v>
      </c>
      <c r="O184">
        <v>222.09</v>
      </c>
      <c r="P184">
        <v>328.78649999999902</v>
      </c>
      <c r="Q184">
        <v>59.684248647382802</v>
      </c>
    </row>
    <row r="185" spans="1:17" x14ac:dyDescent="0.25">
      <c r="A185">
        <v>10184</v>
      </c>
      <c r="B185" s="1">
        <v>45841</v>
      </c>
      <c r="C185">
        <v>3332</v>
      </c>
      <c r="D185" t="s">
        <v>29</v>
      </c>
      <c r="E185" t="s">
        <v>24</v>
      </c>
      <c r="F185" t="s">
        <v>26</v>
      </c>
      <c r="G185" t="s">
        <v>28</v>
      </c>
      <c r="H185">
        <v>3</v>
      </c>
      <c r="I185">
        <v>246.74</v>
      </c>
      <c r="J185">
        <v>10</v>
      </c>
      <c r="K185">
        <v>740.22</v>
      </c>
      <c r="L185">
        <v>74.022000000000006</v>
      </c>
      <c r="M185">
        <v>666.19799999999998</v>
      </c>
      <c r="N185">
        <v>53.01</v>
      </c>
      <c r="O185">
        <v>159.03</v>
      </c>
      <c r="P185">
        <v>507.16800000000001</v>
      </c>
      <c r="Q185">
        <v>76.128718489097807</v>
      </c>
    </row>
    <row r="186" spans="1:17" x14ac:dyDescent="0.25">
      <c r="A186">
        <v>10185</v>
      </c>
      <c r="B186" s="1">
        <v>45842</v>
      </c>
      <c r="C186">
        <v>3617</v>
      </c>
      <c r="D186" t="s">
        <v>17</v>
      </c>
      <c r="E186" t="s">
        <v>18</v>
      </c>
      <c r="F186" t="s">
        <v>19</v>
      </c>
      <c r="G186" t="s">
        <v>27</v>
      </c>
      <c r="H186">
        <v>8</v>
      </c>
      <c r="I186">
        <v>209.82</v>
      </c>
      <c r="J186">
        <v>5</v>
      </c>
      <c r="K186">
        <v>1678.56</v>
      </c>
      <c r="L186">
        <v>83.927999999999997</v>
      </c>
      <c r="M186">
        <v>1594.6320000000001</v>
      </c>
      <c r="N186">
        <v>75.11</v>
      </c>
      <c r="O186">
        <v>600.88</v>
      </c>
      <c r="P186">
        <v>993.75199999999995</v>
      </c>
      <c r="Q186">
        <v>62.318578831981299</v>
      </c>
    </row>
    <row r="187" spans="1:17" x14ac:dyDescent="0.25">
      <c r="A187">
        <v>10186</v>
      </c>
      <c r="B187" s="1">
        <v>45843</v>
      </c>
      <c r="C187">
        <v>3988</v>
      </c>
      <c r="D187" t="s">
        <v>29</v>
      </c>
      <c r="E187" t="s">
        <v>24</v>
      </c>
      <c r="F187" t="s">
        <v>25</v>
      </c>
      <c r="G187" t="s">
        <v>27</v>
      </c>
      <c r="H187">
        <v>3</v>
      </c>
      <c r="I187">
        <v>200.65</v>
      </c>
      <c r="J187">
        <v>5</v>
      </c>
      <c r="K187">
        <v>601.95000000000005</v>
      </c>
      <c r="L187">
        <v>30.0975</v>
      </c>
      <c r="M187">
        <v>571.85249999999996</v>
      </c>
      <c r="N187">
        <v>62.04</v>
      </c>
      <c r="O187">
        <v>186.12</v>
      </c>
      <c r="P187">
        <v>385.73250000000002</v>
      </c>
      <c r="Q187">
        <v>67.453145697535604</v>
      </c>
    </row>
    <row r="188" spans="1:17" x14ac:dyDescent="0.25">
      <c r="A188">
        <v>10187</v>
      </c>
      <c r="B188" s="1">
        <v>45844</v>
      </c>
      <c r="C188">
        <v>3182</v>
      </c>
      <c r="D188" t="s">
        <v>23</v>
      </c>
      <c r="E188" t="s">
        <v>18</v>
      </c>
      <c r="F188" t="s">
        <v>26</v>
      </c>
      <c r="G188" t="s">
        <v>22</v>
      </c>
      <c r="H188">
        <v>7</v>
      </c>
      <c r="I188">
        <v>137.76</v>
      </c>
      <c r="J188">
        <v>5</v>
      </c>
      <c r="K188">
        <v>964.31999999999903</v>
      </c>
      <c r="L188">
        <v>48.216000000000001</v>
      </c>
      <c r="M188">
        <v>916.10399999999902</v>
      </c>
      <c r="N188">
        <v>15.57</v>
      </c>
      <c r="O188">
        <v>108.99</v>
      </c>
      <c r="P188">
        <v>807.11399999999901</v>
      </c>
      <c r="Q188">
        <v>88.102879149092203</v>
      </c>
    </row>
    <row r="189" spans="1:17" x14ac:dyDescent="0.25">
      <c r="A189">
        <v>10188</v>
      </c>
      <c r="B189" s="1">
        <v>45845</v>
      </c>
      <c r="C189">
        <v>3687</v>
      </c>
      <c r="D189" t="s">
        <v>17</v>
      </c>
      <c r="E189" t="s">
        <v>24</v>
      </c>
      <c r="F189" t="s">
        <v>26</v>
      </c>
      <c r="G189" t="s">
        <v>31</v>
      </c>
      <c r="H189">
        <v>5</v>
      </c>
      <c r="I189">
        <v>194.53</v>
      </c>
      <c r="J189">
        <v>0</v>
      </c>
      <c r="K189">
        <v>972.65</v>
      </c>
      <c r="L189">
        <v>0</v>
      </c>
      <c r="M189">
        <v>972.65</v>
      </c>
      <c r="N189">
        <v>119.54</v>
      </c>
      <c r="O189">
        <v>597.70000000000005</v>
      </c>
      <c r="P189">
        <v>374.94999999999902</v>
      </c>
      <c r="Q189">
        <v>38.5493240117205</v>
      </c>
    </row>
    <row r="190" spans="1:17" x14ac:dyDescent="0.25">
      <c r="A190">
        <v>10189</v>
      </c>
      <c r="B190" s="1">
        <v>45846</v>
      </c>
      <c r="C190">
        <v>3421</v>
      </c>
      <c r="D190" t="s">
        <v>21</v>
      </c>
      <c r="E190" t="s">
        <v>18</v>
      </c>
      <c r="F190" t="s">
        <v>19</v>
      </c>
      <c r="G190" t="s">
        <v>20</v>
      </c>
      <c r="H190">
        <v>2</v>
      </c>
      <c r="I190">
        <v>248.8</v>
      </c>
      <c r="J190">
        <v>20</v>
      </c>
      <c r="K190">
        <v>497.6</v>
      </c>
      <c r="L190">
        <v>99.52</v>
      </c>
      <c r="M190">
        <v>398.08</v>
      </c>
      <c r="N190">
        <v>80.69</v>
      </c>
      <c r="O190">
        <v>161.38</v>
      </c>
      <c r="P190">
        <v>236.7</v>
      </c>
      <c r="Q190">
        <v>59.4604099678456</v>
      </c>
    </row>
    <row r="191" spans="1:17" x14ac:dyDescent="0.25">
      <c r="A191">
        <v>10190</v>
      </c>
      <c r="B191" s="1">
        <v>45847</v>
      </c>
      <c r="C191">
        <v>3969</v>
      </c>
      <c r="D191" t="s">
        <v>21</v>
      </c>
      <c r="E191" t="s">
        <v>18</v>
      </c>
      <c r="F191" t="s">
        <v>33</v>
      </c>
      <c r="G191" t="s">
        <v>27</v>
      </c>
      <c r="H191">
        <v>1</v>
      </c>
      <c r="I191">
        <v>77.180000000000007</v>
      </c>
      <c r="J191">
        <v>0</v>
      </c>
      <c r="K191">
        <v>77.180000000000007</v>
      </c>
      <c r="L191">
        <v>0</v>
      </c>
      <c r="M191">
        <v>77.180000000000007</v>
      </c>
      <c r="N191">
        <v>131.83000000000001</v>
      </c>
      <c r="O191">
        <v>131.83000000000001</v>
      </c>
      <c r="P191">
        <v>-54.65</v>
      </c>
      <c r="Q191">
        <v>-70.808499611298203</v>
      </c>
    </row>
    <row r="192" spans="1:17" x14ac:dyDescent="0.25">
      <c r="A192">
        <v>10191</v>
      </c>
      <c r="B192" s="1">
        <v>45848</v>
      </c>
      <c r="C192">
        <v>3599</v>
      </c>
      <c r="D192" t="s">
        <v>21</v>
      </c>
      <c r="E192" t="s">
        <v>24</v>
      </c>
      <c r="F192" t="s">
        <v>19</v>
      </c>
      <c r="G192" t="s">
        <v>32</v>
      </c>
      <c r="H192">
        <v>4</v>
      </c>
      <c r="I192">
        <v>217.78</v>
      </c>
      <c r="J192">
        <v>10</v>
      </c>
      <c r="K192">
        <v>871.12</v>
      </c>
      <c r="L192">
        <v>87.111999999999995</v>
      </c>
      <c r="M192">
        <v>784.00800000000004</v>
      </c>
      <c r="N192">
        <v>11.26</v>
      </c>
      <c r="O192">
        <v>45.04</v>
      </c>
      <c r="P192">
        <v>738.96799999999996</v>
      </c>
      <c r="Q192">
        <v>94.255160661625894</v>
      </c>
    </row>
    <row r="193" spans="1:17" x14ac:dyDescent="0.25">
      <c r="A193">
        <v>10192</v>
      </c>
      <c r="B193" s="1">
        <v>45849</v>
      </c>
      <c r="C193">
        <v>3661</v>
      </c>
      <c r="D193" t="s">
        <v>17</v>
      </c>
      <c r="E193" t="s">
        <v>24</v>
      </c>
      <c r="F193" t="s">
        <v>26</v>
      </c>
      <c r="G193" t="s">
        <v>31</v>
      </c>
      <c r="H193">
        <v>5</v>
      </c>
      <c r="I193">
        <v>62.44</v>
      </c>
      <c r="J193">
        <v>15</v>
      </c>
      <c r="K193">
        <v>312.2</v>
      </c>
      <c r="L193">
        <v>46.83</v>
      </c>
      <c r="M193">
        <v>265.37</v>
      </c>
      <c r="N193">
        <v>18.98</v>
      </c>
      <c r="O193">
        <v>94.9</v>
      </c>
      <c r="P193">
        <v>170.47</v>
      </c>
      <c r="Q193">
        <v>64.238610242303196</v>
      </c>
    </row>
    <row r="194" spans="1:17" x14ac:dyDescent="0.25">
      <c r="A194">
        <v>10193</v>
      </c>
      <c r="B194" s="1">
        <v>45850</v>
      </c>
      <c r="C194">
        <v>3260</v>
      </c>
      <c r="D194" t="s">
        <v>21</v>
      </c>
      <c r="E194" t="s">
        <v>18</v>
      </c>
      <c r="F194" t="s">
        <v>19</v>
      </c>
      <c r="G194" t="s">
        <v>22</v>
      </c>
      <c r="H194">
        <v>8</v>
      </c>
      <c r="I194">
        <v>82.37</v>
      </c>
      <c r="J194">
        <v>5</v>
      </c>
      <c r="K194">
        <v>658.96</v>
      </c>
      <c r="L194">
        <v>32.948</v>
      </c>
      <c r="M194">
        <v>626.01199999999994</v>
      </c>
      <c r="N194">
        <v>23.28</v>
      </c>
      <c r="O194">
        <v>186.24</v>
      </c>
      <c r="P194">
        <v>439.77199999999999</v>
      </c>
      <c r="Q194">
        <v>70.249771569874</v>
      </c>
    </row>
    <row r="195" spans="1:17" x14ac:dyDescent="0.25">
      <c r="A195">
        <v>10194</v>
      </c>
      <c r="B195" s="1">
        <v>45851</v>
      </c>
      <c r="C195">
        <v>3475</v>
      </c>
      <c r="D195" t="s">
        <v>23</v>
      </c>
      <c r="E195" t="s">
        <v>18</v>
      </c>
      <c r="F195" t="s">
        <v>25</v>
      </c>
      <c r="G195" t="s">
        <v>22</v>
      </c>
      <c r="H195">
        <v>5</v>
      </c>
      <c r="I195">
        <v>142.05000000000001</v>
      </c>
      <c r="J195">
        <v>5</v>
      </c>
      <c r="K195">
        <v>710.25</v>
      </c>
      <c r="L195">
        <v>35.512500000000003</v>
      </c>
      <c r="M195">
        <v>674.73749999999995</v>
      </c>
      <c r="N195">
        <v>131.16999999999999</v>
      </c>
      <c r="O195">
        <v>655.849999999999</v>
      </c>
      <c r="P195">
        <v>18.887499999999999</v>
      </c>
      <c r="Q195">
        <v>2.7992367402137899</v>
      </c>
    </row>
    <row r="196" spans="1:17" x14ac:dyDescent="0.25">
      <c r="A196">
        <v>10195</v>
      </c>
      <c r="B196" s="1">
        <v>45852</v>
      </c>
      <c r="C196">
        <v>3588</v>
      </c>
      <c r="D196" t="s">
        <v>29</v>
      </c>
      <c r="E196" t="s">
        <v>24</v>
      </c>
      <c r="F196" t="s">
        <v>19</v>
      </c>
      <c r="G196" t="s">
        <v>22</v>
      </c>
      <c r="H196">
        <v>4</v>
      </c>
      <c r="I196">
        <v>107.22</v>
      </c>
      <c r="J196">
        <v>5</v>
      </c>
      <c r="K196">
        <v>428.88</v>
      </c>
      <c r="L196">
        <v>21.443999999999999</v>
      </c>
      <c r="M196">
        <v>407.43599999999998</v>
      </c>
      <c r="N196">
        <v>78.489999999999995</v>
      </c>
      <c r="O196">
        <v>313.95999999999998</v>
      </c>
      <c r="P196">
        <v>93.475999999999999</v>
      </c>
      <c r="Q196">
        <v>22.942498944619501</v>
      </c>
    </row>
    <row r="197" spans="1:17" x14ac:dyDescent="0.25">
      <c r="A197">
        <v>10196</v>
      </c>
      <c r="B197" s="1">
        <v>45853</v>
      </c>
      <c r="C197">
        <v>3233</v>
      </c>
      <c r="D197" t="s">
        <v>23</v>
      </c>
      <c r="E197" t="s">
        <v>24</v>
      </c>
      <c r="F197" t="s">
        <v>25</v>
      </c>
      <c r="G197" t="s">
        <v>20</v>
      </c>
      <c r="H197">
        <v>4</v>
      </c>
      <c r="I197">
        <v>144.21</v>
      </c>
      <c r="J197">
        <v>15</v>
      </c>
      <c r="K197">
        <v>576.84</v>
      </c>
      <c r="L197">
        <v>86.525999999999996</v>
      </c>
      <c r="M197">
        <v>490.31400000000002</v>
      </c>
      <c r="N197">
        <v>113.83</v>
      </c>
      <c r="O197">
        <v>455.32</v>
      </c>
      <c r="P197">
        <v>34.994</v>
      </c>
      <c r="Q197">
        <v>7.13705910906073</v>
      </c>
    </row>
    <row r="198" spans="1:17" x14ac:dyDescent="0.25">
      <c r="A198">
        <v>10197</v>
      </c>
      <c r="B198" s="1">
        <v>45854</v>
      </c>
      <c r="C198">
        <v>3331</v>
      </c>
      <c r="D198" t="s">
        <v>29</v>
      </c>
      <c r="E198" t="s">
        <v>18</v>
      </c>
      <c r="F198" t="s">
        <v>33</v>
      </c>
      <c r="G198" t="s">
        <v>22</v>
      </c>
      <c r="H198">
        <v>8</v>
      </c>
      <c r="I198">
        <v>248.83</v>
      </c>
      <c r="J198">
        <v>0</v>
      </c>
      <c r="K198">
        <v>1990.64</v>
      </c>
      <c r="L198">
        <v>0</v>
      </c>
      <c r="M198">
        <v>1990.64</v>
      </c>
      <c r="N198">
        <v>16.190000000000001</v>
      </c>
      <c r="O198">
        <v>129.52000000000001</v>
      </c>
      <c r="P198">
        <v>1861.12</v>
      </c>
      <c r="Q198">
        <v>93.493549813125398</v>
      </c>
    </row>
    <row r="199" spans="1:17" x14ac:dyDescent="0.25">
      <c r="A199">
        <v>10198</v>
      </c>
      <c r="B199" s="1">
        <v>45855</v>
      </c>
      <c r="C199">
        <v>3774</v>
      </c>
      <c r="D199" t="s">
        <v>23</v>
      </c>
      <c r="E199" t="s">
        <v>18</v>
      </c>
      <c r="F199" t="s">
        <v>26</v>
      </c>
      <c r="G199" t="s">
        <v>30</v>
      </c>
      <c r="H199">
        <v>1</v>
      </c>
      <c r="I199">
        <v>121.39</v>
      </c>
      <c r="J199">
        <v>20</v>
      </c>
      <c r="K199">
        <v>121.39</v>
      </c>
      <c r="L199">
        <v>24.277999999999999</v>
      </c>
      <c r="M199">
        <v>97.111999999999995</v>
      </c>
      <c r="N199">
        <v>113.19</v>
      </c>
      <c r="O199">
        <v>113.19</v>
      </c>
      <c r="P199">
        <v>-16.077999999999999</v>
      </c>
      <c r="Q199">
        <v>-16.556141362550399</v>
      </c>
    </row>
    <row r="200" spans="1:17" x14ac:dyDescent="0.25">
      <c r="A200">
        <v>10199</v>
      </c>
      <c r="B200" s="1">
        <v>45856</v>
      </c>
      <c r="C200">
        <v>3888</v>
      </c>
      <c r="D200" t="s">
        <v>23</v>
      </c>
      <c r="E200" t="s">
        <v>18</v>
      </c>
      <c r="F200" t="s">
        <v>33</v>
      </c>
      <c r="G200" t="s">
        <v>27</v>
      </c>
      <c r="H200">
        <v>1</v>
      </c>
      <c r="I200">
        <v>121.62</v>
      </c>
      <c r="J200">
        <v>10</v>
      </c>
      <c r="K200">
        <v>121.62</v>
      </c>
      <c r="L200">
        <v>12.162000000000001</v>
      </c>
      <c r="M200">
        <v>109.458</v>
      </c>
      <c r="N200">
        <v>16.239999999999998</v>
      </c>
      <c r="O200">
        <v>16.239999999999998</v>
      </c>
      <c r="P200">
        <v>93.218000000000004</v>
      </c>
      <c r="Q200">
        <v>85.163258966909595</v>
      </c>
    </row>
    <row r="201" spans="1:17" x14ac:dyDescent="0.25">
      <c r="A201">
        <v>10200</v>
      </c>
      <c r="B201" s="1">
        <v>45857</v>
      </c>
      <c r="C201">
        <v>3225</v>
      </c>
      <c r="D201" t="s">
        <v>23</v>
      </c>
      <c r="E201" t="s">
        <v>18</v>
      </c>
      <c r="F201" t="s">
        <v>19</v>
      </c>
      <c r="G201" t="s">
        <v>22</v>
      </c>
      <c r="H201">
        <v>7</v>
      </c>
      <c r="I201">
        <v>228.09</v>
      </c>
      <c r="J201">
        <v>15</v>
      </c>
      <c r="K201">
        <v>1596.63</v>
      </c>
      <c r="L201">
        <v>239.49449999999999</v>
      </c>
      <c r="M201">
        <v>1357.1355000000001</v>
      </c>
      <c r="N201">
        <v>137</v>
      </c>
      <c r="O201">
        <v>959</v>
      </c>
      <c r="P201">
        <v>398.13549999999998</v>
      </c>
      <c r="Q201">
        <v>29.336459034488399</v>
      </c>
    </row>
    <row r="202" spans="1:17" x14ac:dyDescent="0.25">
      <c r="A202">
        <v>10201</v>
      </c>
      <c r="B202" s="1">
        <v>45858</v>
      </c>
      <c r="C202">
        <v>3469</v>
      </c>
      <c r="D202" t="s">
        <v>23</v>
      </c>
      <c r="E202" t="s">
        <v>24</v>
      </c>
      <c r="F202" t="s">
        <v>25</v>
      </c>
      <c r="G202" t="s">
        <v>30</v>
      </c>
      <c r="H202">
        <v>5</v>
      </c>
      <c r="I202">
        <v>158.68</v>
      </c>
      <c r="J202">
        <v>15</v>
      </c>
      <c r="K202">
        <v>793.4</v>
      </c>
      <c r="L202">
        <v>119.01</v>
      </c>
      <c r="M202">
        <v>674.39</v>
      </c>
      <c r="N202">
        <v>79.260000000000005</v>
      </c>
      <c r="O202">
        <v>396.3</v>
      </c>
      <c r="P202">
        <v>278.08999999999997</v>
      </c>
      <c r="Q202">
        <v>41.235783448746197</v>
      </c>
    </row>
    <row r="203" spans="1:17" x14ac:dyDescent="0.25">
      <c r="A203">
        <v>10202</v>
      </c>
      <c r="B203" s="1">
        <v>45859</v>
      </c>
      <c r="C203">
        <v>3085</v>
      </c>
      <c r="D203" t="s">
        <v>17</v>
      </c>
      <c r="E203" t="s">
        <v>18</v>
      </c>
      <c r="F203" t="s">
        <v>26</v>
      </c>
      <c r="G203" t="s">
        <v>32</v>
      </c>
      <c r="H203">
        <v>4</v>
      </c>
      <c r="I203">
        <v>91.19</v>
      </c>
      <c r="J203">
        <v>20</v>
      </c>
      <c r="K203">
        <v>364.76</v>
      </c>
      <c r="L203">
        <v>72.951999999999998</v>
      </c>
      <c r="M203">
        <v>291.80799999999999</v>
      </c>
      <c r="N203">
        <v>144.11000000000001</v>
      </c>
      <c r="O203">
        <v>576.44000000000005</v>
      </c>
      <c r="P203">
        <v>-284.63200000000001</v>
      </c>
      <c r="Q203">
        <v>-97.5408487772782</v>
      </c>
    </row>
    <row r="204" spans="1:17" x14ac:dyDescent="0.25">
      <c r="A204">
        <v>10203</v>
      </c>
      <c r="B204" s="1">
        <v>45860</v>
      </c>
      <c r="C204">
        <v>3670</v>
      </c>
      <c r="D204" t="s">
        <v>21</v>
      </c>
      <c r="E204" t="s">
        <v>24</v>
      </c>
      <c r="F204" t="s">
        <v>19</v>
      </c>
      <c r="G204" t="s">
        <v>20</v>
      </c>
      <c r="H204">
        <v>5</v>
      </c>
      <c r="I204">
        <v>209.99</v>
      </c>
      <c r="J204">
        <v>15</v>
      </c>
      <c r="K204">
        <v>1049.95</v>
      </c>
      <c r="L204">
        <v>157.49250000000001</v>
      </c>
      <c r="M204">
        <v>892.45749999999998</v>
      </c>
      <c r="N204">
        <v>97.09</v>
      </c>
      <c r="O204">
        <v>485.45</v>
      </c>
      <c r="P204">
        <v>407.00749999999903</v>
      </c>
      <c r="Q204">
        <v>45.605252911203003</v>
      </c>
    </row>
    <row r="205" spans="1:17" x14ac:dyDescent="0.25">
      <c r="A205">
        <v>10204</v>
      </c>
      <c r="B205" s="1">
        <v>45861</v>
      </c>
      <c r="C205">
        <v>3875</v>
      </c>
      <c r="D205" t="s">
        <v>29</v>
      </c>
      <c r="E205" t="s">
        <v>24</v>
      </c>
      <c r="F205" t="s">
        <v>26</v>
      </c>
      <c r="G205" t="s">
        <v>20</v>
      </c>
      <c r="H205">
        <v>9</v>
      </c>
      <c r="I205">
        <v>202.26</v>
      </c>
      <c r="J205">
        <v>0</v>
      </c>
      <c r="K205">
        <v>1820.34</v>
      </c>
      <c r="L205">
        <v>0</v>
      </c>
      <c r="M205">
        <v>1820.34</v>
      </c>
      <c r="N205">
        <v>92.24</v>
      </c>
      <c r="O205">
        <v>830.16</v>
      </c>
      <c r="P205">
        <v>990.18</v>
      </c>
      <c r="Q205">
        <v>54.395332740037503</v>
      </c>
    </row>
    <row r="206" spans="1:17" x14ac:dyDescent="0.25">
      <c r="A206">
        <v>10205</v>
      </c>
      <c r="B206" s="1">
        <v>45862</v>
      </c>
      <c r="C206">
        <v>3476</v>
      </c>
      <c r="D206" t="s">
        <v>21</v>
      </c>
      <c r="E206" t="s">
        <v>18</v>
      </c>
      <c r="F206" t="s">
        <v>19</v>
      </c>
      <c r="G206" t="s">
        <v>30</v>
      </c>
      <c r="H206">
        <v>4</v>
      </c>
      <c r="I206">
        <v>189.58</v>
      </c>
      <c r="J206">
        <v>20</v>
      </c>
      <c r="K206">
        <v>758.32</v>
      </c>
      <c r="L206">
        <v>151.66399999999999</v>
      </c>
      <c r="M206">
        <v>606.65599999999995</v>
      </c>
      <c r="N206">
        <v>29.18</v>
      </c>
      <c r="O206">
        <v>116.72</v>
      </c>
      <c r="P206">
        <v>489.93599999999998</v>
      </c>
      <c r="Q206">
        <v>80.760101276505907</v>
      </c>
    </row>
    <row r="207" spans="1:17" x14ac:dyDescent="0.25">
      <c r="A207">
        <v>10206</v>
      </c>
      <c r="B207" s="1">
        <v>45863</v>
      </c>
      <c r="C207">
        <v>3824</v>
      </c>
      <c r="D207" t="s">
        <v>29</v>
      </c>
      <c r="E207" t="s">
        <v>18</v>
      </c>
      <c r="F207" t="s">
        <v>19</v>
      </c>
      <c r="G207" t="s">
        <v>20</v>
      </c>
      <c r="H207">
        <v>9</v>
      </c>
      <c r="I207">
        <v>79.34</v>
      </c>
      <c r="J207">
        <v>10</v>
      </c>
      <c r="K207">
        <v>714.06</v>
      </c>
      <c r="L207">
        <v>71.406000000000006</v>
      </c>
      <c r="M207">
        <v>642.654</v>
      </c>
      <c r="N207">
        <v>96.65</v>
      </c>
      <c r="O207">
        <v>869.85</v>
      </c>
      <c r="P207">
        <v>-227.196</v>
      </c>
      <c r="Q207">
        <v>-35.352771475786298</v>
      </c>
    </row>
    <row r="208" spans="1:17" x14ac:dyDescent="0.25">
      <c r="A208">
        <v>10207</v>
      </c>
      <c r="B208" s="1">
        <v>45864</v>
      </c>
      <c r="C208">
        <v>3819</v>
      </c>
      <c r="D208" t="s">
        <v>23</v>
      </c>
      <c r="E208" t="s">
        <v>24</v>
      </c>
      <c r="F208" t="s">
        <v>33</v>
      </c>
      <c r="G208" t="s">
        <v>20</v>
      </c>
      <c r="H208">
        <v>4</v>
      </c>
      <c r="I208">
        <v>52.03</v>
      </c>
      <c r="J208">
        <v>20</v>
      </c>
      <c r="K208">
        <v>208.12</v>
      </c>
      <c r="L208">
        <v>41.624000000000002</v>
      </c>
      <c r="M208">
        <v>166.49600000000001</v>
      </c>
      <c r="N208">
        <v>114.32</v>
      </c>
      <c r="O208">
        <v>457.28</v>
      </c>
      <c r="P208">
        <v>-290.78399999999999</v>
      </c>
      <c r="Q208">
        <v>-174.649240822602</v>
      </c>
    </row>
    <row r="209" spans="1:17" x14ac:dyDescent="0.25">
      <c r="A209">
        <v>10208</v>
      </c>
      <c r="B209" s="1">
        <v>45865</v>
      </c>
      <c r="C209">
        <v>3247</v>
      </c>
      <c r="D209" t="s">
        <v>17</v>
      </c>
      <c r="E209" t="s">
        <v>18</v>
      </c>
      <c r="F209" t="s">
        <v>25</v>
      </c>
      <c r="G209" t="s">
        <v>30</v>
      </c>
      <c r="H209">
        <v>3</v>
      </c>
      <c r="I209">
        <v>142.15</v>
      </c>
      <c r="J209">
        <v>20</v>
      </c>
      <c r="K209">
        <v>426.45</v>
      </c>
      <c r="L209">
        <v>85.29</v>
      </c>
      <c r="M209">
        <v>341.16</v>
      </c>
      <c r="N209">
        <v>93.5</v>
      </c>
      <c r="O209">
        <v>280.5</v>
      </c>
      <c r="P209">
        <v>60.66</v>
      </c>
      <c r="Q209">
        <v>17.780513542032999</v>
      </c>
    </row>
    <row r="210" spans="1:17" x14ac:dyDescent="0.25">
      <c r="A210">
        <v>10209</v>
      </c>
      <c r="B210" s="1">
        <v>45866</v>
      </c>
      <c r="C210">
        <v>3183</v>
      </c>
      <c r="D210" t="s">
        <v>23</v>
      </c>
      <c r="E210" t="s">
        <v>18</v>
      </c>
      <c r="F210" t="s">
        <v>33</v>
      </c>
      <c r="G210" t="s">
        <v>27</v>
      </c>
      <c r="H210">
        <v>2</v>
      </c>
      <c r="I210">
        <v>23.36</v>
      </c>
      <c r="J210">
        <v>15</v>
      </c>
      <c r="K210">
        <v>46.72</v>
      </c>
      <c r="L210">
        <v>7.008</v>
      </c>
      <c r="M210">
        <v>39.711999999999897</v>
      </c>
      <c r="N210">
        <v>104.95</v>
      </c>
      <c r="O210">
        <v>209.9</v>
      </c>
      <c r="P210">
        <v>-170.18799999999999</v>
      </c>
      <c r="Q210">
        <v>-428.55560032232</v>
      </c>
    </row>
    <row r="211" spans="1:17" x14ac:dyDescent="0.25">
      <c r="A211">
        <v>10210</v>
      </c>
      <c r="B211" s="1">
        <v>45867</v>
      </c>
      <c r="C211">
        <v>3633</v>
      </c>
      <c r="D211" t="s">
        <v>21</v>
      </c>
      <c r="E211" t="s">
        <v>18</v>
      </c>
      <c r="F211" t="s">
        <v>25</v>
      </c>
      <c r="G211" t="s">
        <v>28</v>
      </c>
      <c r="H211">
        <v>7</v>
      </c>
      <c r="I211">
        <v>164.31</v>
      </c>
      <c r="J211">
        <v>15</v>
      </c>
      <c r="K211">
        <v>1150.17</v>
      </c>
      <c r="L211">
        <v>172.52549999999999</v>
      </c>
      <c r="M211">
        <v>977.64449999999999</v>
      </c>
      <c r="N211">
        <v>133.19999999999999</v>
      </c>
      <c r="O211">
        <v>932.39999999999895</v>
      </c>
      <c r="P211">
        <v>45.244500000000201</v>
      </c>
      <c r="Q211">
        <v>4.6279092246721802</v>
      </c>
    </row>
    <row r="212" spans="1:17" x14ac:dyDescent="0.25">
      <c r="A212">
        <v>10211</v>
      </c>
      <c r="B212" s="1">
        <v>45868</v>
      </c>
      <c r="C212">
        <v>3908</v>
      </c>
      <c r="D212" t="s">
        <v>17</v>
      </c>
      <c r="E212" t="s">
        <v>24</v>
      </c>
      <c r="F212" t="s">
        <v>25</v>
      </c>
      <c r="G212" t="s">
        <v>20</v>
      </c>
      <c r="H212">
        <v>8</v>
      </c>
      <c r="I212">
        <v>114.72</v>
      </c>
      <c r="J212">
        <v>15</v>
      </c>
      <c r="K212">
        <v>917.76</v>
      </c>
      <c r="L212">
        <v>137.66399999999999</v>
      </c>
      <c r="M212">
        <v>780.096</v>
      </c>
      <c r="N212">
        <v>106.02</v>
      </c>
      <c r="O212">
        <v>848.16</v>
      </c>
      <c r="P212">
        <v>-68.063999999999893</v>
      </c>
      <c r="Q212">
        <v>-8.7250799901550504</v>
      </c>
    </row>
    <row r="213" spans="1:17" x14ac:dyDescent="0.25">
      <c r="A213">
        <v>10212</v>
      </c>
      <c r="B213" s="1">
        <v>45869</v>
      </c>
      <c r="C213">
        <v>3076</v>
      </c>
      <c r="D213" t="s">
        <v>17</v>
      </c>
      <c r="E213" t="s">
        <v>24</v>
      </c>
      <c r="F213" t="s">
        <v>25</v>
      </c>
      <c r="G213" t="s">
        <v>31</v>
      </c>
      <c r="H213">
        <v>7</v>
      </c>
      <c r="I213">
        <v>180.49</v>
      </c>
      <c r="J213">
        <v>0</v>
      </c>
      <c r="K213">
        <v>1263.43</v>
      </c>
      <c r="L213">
        <v>0</v>
      </c>
      <c r="M213">
        <v>1263.43</v>
      </c>
      <c r="N213">
        <v>98.18</v>
      </c>
      <c r="O213">
        <v>687.26</v>
      </c>
      <c r="P213">
        <v>576.16999999999996</v>
      </c>
      <c r="Q213">
        <v>45.603634550390602</v>
      </c>
    </row>
    <row r="214" spans="1:17" x14ac:dyDescent="0.25">
      <c r="A214">
        <v>10213</v>
      </c>
      <c r="B214" s="1">
        <v>45870</v>
      </c>
      <c r="C214">
        <v>3877</v>
      </c>
      <c r="D214" t="s">
        <v>21</v>
      </c>
      <c r="E214" t="s">
        <v>18</v>
      </c>
      <c r="F214" t="s">
        <v>33</v>
      </c>
      <c r="G214" t="s">
        <v>22</v>
      </c>
      <c r="H214">
        <v>3</v>
      </c>
      <c r="I214">
        <v>172.73</v>
      </c>
      <c r="J214">
        <v>20</v>
      </c>
      <c r="K214">
        <v>518.18999999999903</v>
      </c>
      <c r="L214">
        <v>103.637999999999</v>
      </c>
      <c r="M214">
        <v>414.551999999999</v>
      </c>
      <c r="N214">
        <v>81.489999999999995</v>
      </c>
      <c r="O214">
        <v>244.469999999999</v>
      </c>
      <c r="P214">
        <v>170.08199999999999</v>
      </c>
      <c r="Q214">
        <v>41.027904822555399</v>
      </c>
    </row>
    <row r="215" spans="1:17" x14ac:dyDescent="0.25">
      <c r="A215">
        <v>10214</v>
      </c>
      <c r="B215" s="1">
        <v>45871</v>
      </c>
      <c r="C215">
        <v>3932</v>
      </c>
      <c r="D215" t="s">
        <v>21</v>
      </c>
      <c r="E215" t="s">
        <v>18</v>
      </c>
      <c r="F215" t="s">
        <v>33</v>
      </c>
      <c r="G215" t="s">
        <v>20</v>
      </c>
      <c r="H215">
        <v>5</v>
      </c>
      <c r="I215">
        <v>82.92</v>
      </c>
      <c r="J215">
        <v>15</v>
      </c>
      <c r="K215">
        <v>414.6</v>
      </c>
      <c r="L215">
        <v>62.19</v>
      </c>
      <c r="M215">
        <v>352.41</v>
      </c>
      <c r="N215">
        <v>71.03</v>
      </c>
      <c r="O215">
        <v>355.15</v>
      </c>
      <c r="P215">
        <v>-2.73999999999995</v>
      </c>
      <c r="Q215">
        <v>-0.77750347606479697</v>
      </c>
    </row>
    <row r="216" spans="1:17" x14ac:dyDescent="0.25">
      <c r="A216">
        <v>10215</v>
      </c>
      <c r="B216" s="1">
        <v>45872</v>
      </c>
      <c r="C216">
        <v>3711</v>
      </c>
      <c r="D216" t="s">
        <v>17</v>
      </c>
      <c r="E216" t="s">
        <v>24</v>
      </c>
      <c r="F216" t="s">
        <v>25</v>
      </c>
      <c r="G216" t="s">
        <v>31</v>
      </c>
      <c r="H216">
        <v>2</v>
      </c>
      <c r="I216">
        <v>39.01</v>
      </c>
      <c r="J216">
        <v>20</v>
      </c>
      <c r="K216">
        <v>78.02</v>
      </c>
      <c r="L216">
        <v>15.603999999999999</v>
      </c>
      <c r="M216">
        <v>62.415999999999997</v>
      </c>
      <c r="N216">
        <v>108.35</v>
      </c>
      <c r="O216">
        <v>216.7</v>
      </c>
      <c r="P216">
        <v>-154.28399999999999</v>
      </c>
      <c r="Q216">
        <v>-247.18661881568801</v>
      </c>
    </row>
    <row r="217" spans="1:17" x14ac:dyDescent="0.25">
      <c r="A217">
        <v>10216</v>
      </c>
      <c r="B217" s="1">
        <v>45873</v>
      </c>
      <c r="C217">
        <v>3085</v>
      </c>
      <c r="D217" t="s">
        <v>29</v>
      </c>
      <c r="E217" t="s">
        <v>24</v>
      </c>
      <c r="F217" t="s">
        <v>33</v>
      </c>
      <c r="G217" t="s">
        <v>31</v>
      </c>
      <c r="H217">
        <v>6</v>
      </c>
      <c r="I217">
        <v>242.98</v>
      </c>
      <c r="J217">
        <v>0</v>
      </c>
      <c r="K217">
        <v>1457.8799999999901</v>
      </c>
      <c r="L217">
        <v>0</v>
      </c>
      <c r="M217">
        <v>1457.8799999999901</v>
      </c>
      <c r="N217">
        <v>125.07</v>
      </c>
      <c r="O217">
        <v>750.42</v>
      </c>
      <c r="P217">
        <v>707.45999999999901</v>
      </c>
      <c r="Q217">
        <v>48.526627705983998</v>
      </c>
    </row>
    <row r="218" spans="1:17" x14ac:dyDescent="0.25">
      <c r="A218">
        <v>10217</v>
      </c>
      <c r="B218" s="1">
        <v>45874</v>
      </c>
      <c r="C218">
        <v>3698</v>
      </c>
      <c r="D218" t="s">
        <v>17</v>
      </c>
      <c r="E218" t="s">
        <v>18</v>
      </c>
      <c r="F218" t="s">
        <v>33</v>
      </c>
      <c r="G218" t="s">
        <v>22</v>
      </c>
      <c r="H218">
        <v>9</v>
      </c>
      <c r="I218">
        <v>13.57</v>
      </c>
      <c r="J218">
        <v>5</v>
      </c>
      <c r="K218">
        <v>122.13</v>
      </c>
      <c r="L218">
        <v>6.1064999999999996</v>
      </c>
      <c r="M218">
        <v>116.0235</v>
      </c>
      <c r="N218">
        <v>110.63</v>
      </c>
      <c r="O218">
        <v>995.67</v>
      </c>
      <c r="P218">
        <v>-879.64649999999995</v>
      </c>
      <c r="Q218">
        <v>-758.16235504014196</v>
      </c>
    </row>
    <row r="219" spans="1:17" x14ac:dyDescent="0.25">
      <c r="A219">
        <v>10218</v>
      </c>
      <c r="B219" s="1">
        <v>45875</v>
      </c>
      <c r="C219">
        <v>3809</v>
      </c>
      <c r="D219" t="s">
        <v>29</v>
      </c>
      <c r="E219" t="s">
        <v>24</v>
      </c>
      <c r="F219" t="s">
        <v>33</v>
      </c>
      <c r="G219" t="s">
        <v>28</v>
      </c>
      <c r="H219">
        <v>9</v>
      </c>
      <c r="I219">
        <v>103.4</v>
      </c>
      <c r="J219">
        <v>10</v>
      </c>
      <c r="K219">
        <v>930.6</v>
      </c>
      <c r="L219">
        <v>93.06</v>
      </c>
      <c r="M219">
        <v>837.54</v>
      </c>
      <c r="N219">
        <v>19.52</v>
      </c>
      <c r="O219">
        <v>175.68</v>
      </c>
      <c r="P219">
        <v>661.85999999999899</v>
      </c>
      <c r="Q219">
        <v>79.024285407264102</v>
      </c>
    </row>
    <row r="220" spans="1:17" x14ac:dyDescent="0.25">
      <c r="A220">
        <v>10219</v>
      </c>
      <c r="B220" s="1">
        <v>45876</v>
      </c>
      <c r="C220">
        <v>3230</v>
      </c>
      <c r="D220" t="s">
        <v>29</v>
      </c>
      <c r="E220" t="s">
        <v>24</v>
      </c>
      <c r="F220" t="s">
        <v>19</v>
      </c>
      <c r="G220" t="s">
        <v>31</v>
      </c>
      <c r="H220">
        <v>6</v>
      </c>
      <c r="I220">
        <v>137.47</v>
      </c>
      <c r="J220">
        <v>20</v>
      </c>
      <c r="K220">
        <v>824.81999999999903</v>
      </c>
      <c r="L220">
        <v>164.964</v>
      </c>
      <c r="M220">
        <v>659.85599999999999</v>
      </c>
      <c r="N220">
        <v>42.16</v>
      </c>
      <c r="O220">
        <v>252.95999999999901</v>
      </c>
      <c r="P220">
        <v>406.89600000000002</v>
      </c>
      <c r="Q220">
        <v>61.6643631337746</v>
      </c>
    </row>
    <row r="221" spans="1:17" x14ac:dyDescent="0.25">
      <c r="A221">
        <v>10220</v>
      </c>
      <c r="B221" s="1">
        <v>45877</v>
      </c>
      <c r="C221">
        <v>3911</v>
      </c>
      <c r="D221" t="s">
        <v>21</v>
      </c>
      <c r="E221" t="s">
        <v>24</v>
      </c>
      <c r="F221" t="s">
        <v>25</v>
      </c>
      <c r="G221" t="s">
        <v>31</v>
      </c>
      <c r="H221">
        <v>9</v>
      </c>
      <c r="I221">
        <v>126.72</v>
      </c>
      <c r="J221">
        <v>15</v>
      </c>
      <c r="K221">
        <v>1140.48</v>
      </c>
      <c r="L221">
        <v>171.072</v>
      </c>
      <c r="M221">
        <v>969.40800000000002</v>
      </c>
      <c r="N221">
        <v>94</v>
      </c>
      <c r="O221">
        <v>846</v>
      </c>
      <c r="P221">
        <v>123.408</v>
      </c>
      <c r="Q221">
        <v>12.7302436125965</v>
      </c>
    </row>
    <row r="222" spans="1:17" x14ac:dyDescent="0.25">
      <c r="A222">
        <v>10221</v>
      </c>
      <c r="B222" s="1">
        <v>45878</v>
      </c>
      <c r="C222">
        <v>3811</v>
      </c>
      <c r="D222" t="s">
        <v>29</v>
      </c>
      <c r="E222" t="s">
        <v>18</v>
      </c>
      <c r="F222" t="s">
        <v>25</v>
      </c>
      <c r="G222" t="s">
        <v>28</v>
      </c>
      <c r="H222">
        <v>3</v>
      </c>
      <c r="I222">
        <v>193.23</v>
      </c>
      <c r="J222">
        <v>5</v>
      </c>
      <c r="K222">
        <v>579.68999999999903</v>
      </c>
      <c r="L222">
        <v>28.984499999999901</v>
      </c>
      <c r="M222">
        <v>550.70549999999901</v>
      </c>
      <c r="N222">
        <v>87.26</v>
      </c>
      <c r="O222">
        <v>261.77999999999997</v>
      </c>
      <c r="P222">
        <v>288.92549999999898</v>
      </c>
      <c r="Q222">
        <v>52.464611303137502</v>
      </c>
    </row>
    <row r="223" spans="1:17" x14ac:dyDescent="0.25">
      <c r="A223">
        <v>10222</v>
      </c>
      <c r="B223" s="1">
        <v>45879</v>
      </c>
      <c r="C223">
        <v>3315</v>
      </c>
      <c r="D223" t="s">
        <v>21</v>
      </c>
      <c r="E223" t="s">
        <v>18</v>
      </c>
      <c r="F223" t="s">
        <v>19</v>
      </c>
      <c r="G223" t="s">
        <v>28</v>
      </c>
      <c r="H223">
        <v>4</v>
      </c>
      <c r="I223">
        <v>233.69</v>
      </c>
      <c r="J223">
        <v>20</v>
      </c>
      <c r="K223">
        <v>934.76</v>
      </c>
      <c r="L223">
        <v>186.952</v>
      </c>
      <c r="M223">
        <v>747.80799999999999</v>
      </c>
      <c r="N223">
        <v>138.05000000000001</v>
      </c>
      <c r="O223">
        <v>552.20000000000005</v>
      </c>
      <c r="P223">
        <v>195.60799999999901</v>
      </c>
      <c r="Q223">
        <v>26.157516367837701</v>
      </c>
    </row>
    <row r="224" spans="1:17" x14ac:dyDescent="0.25">
      <c r="A224">
        <v>10223</v>
      </c>
      <c r="B224" s="1">
        <v>45880</v>
      </c>
      <c r="C224">
        <v>3850</v>
      </c>
      <c r="D224" t="s">
        <v>17</v>
      </c>
      <c r="E224" t="s">
        <v>24</v>
      </c>
      <c r="F224" t="s">
        <v>26</v>
      </c>
      <c r="G224" t="s">
        <v>27</v>
      </c>
      <c r="H224">
        <v>5</v>
      </c>
      <c r="I224">
        <v>199.67</v>
      </c>
      <c r="J224">
        <v>10</v>
      </c>
      <c r="K224">
        <v>998.349999999999</v>
      </c>
      <c r="L224">
        <v>99.834999999999994</v>
      </c>
      <c r="M224">
        <v>898.51499999999896</v>
      </c>
      <c r="N224">
        <v>147.58000000000001</v>
      </c>
      <c r="O224">
        <v>737.9</v>
      </c>
      <c r="P224">
        <v>160.61499999999899</v>
      </c>
      <c r="Q224">
        <v>17.875605860781299</v>
      </c>
    </row>
    <row r="225" spans="1:17" x14ac:dyDescent="0.25">
      <c r="A225">
        <v>10224</v>
      </c>
      <c r="B225" s="1">
        <v>45881</v>
      </c>
      <c r="C225">
        <v>3575</v>
      </c>
      <c r="D225" t="s">
        <v>23</v>
      </c>
      <c r="E225" t="s">
        <v>18</v>
      </c>
      <c r="F225" t="s">
        <v>19</v>
      </c>
      <c r="G225" t="s">
        <v>27</v>
      </c>
      <c r="H225">
        <v>8</v>
      </c>
      <c r="I225">
        <v>196.38</v>
      </c>
      <c r="J225">
        <v>0</v>
      </c>
      <c r="K225">
        <v>1571.04</v>
      </c>
      <c r="L225">
        <v>0</v>
      </c>
      <c r="M225">
        <v>1571.04</v>
      </c>
      <c r="N225">
        <v>134.88999999999999</v>
      </c>
      <c r="O225">
        <v>1079.1199999999999</v>
      </c>
      <c r="P225">
        <v>491.92</v>
      </c>
      <c r="Q225">
        <v>31.311742539973501</v>
      </c>
    </row>
    <row r="226" spans="1:17" x14ac:dyDescent="0.25">
      <c r="A226">
        <v>10225</v>
      </c>
      <c r="B226" s="1">
        <v>45882</v>
      </c>
      <c r="C226">
        <v>3924</v>
      </c>
      <c r="D226" t="s">
        <v>21</v>
      </c>
      <c r="E226" t="s">
        <v>18</v>
      </c>
      <c r="F226" t="s">
        <v>25</v>
      </c>
      <c r="G226" t="s">
        <v>30</v>
      </c>
      <c r="H226">
        <v>5</v>
      </c>
      <c r="I226">
        <v>101.4</v>
      </c>
      <c r="J226">
        <v>10</v>
      </c>
      <c r="K226">
        <v>507</v>
      </c>
      <c r="L226">
        <v>50.7</v>
      </c>
      <c r="M226">
        <v>456.3</v>
      </c>
      <c r="N226">
        <v>92.84</v>
      </c>
      <c r="O226">
        <v>464.2</v>
      </c>
      <c r="P226">
        <v>-7.9000000000000297</v>
      </c>
      <c r="Q226">
        <v>-1.7313171159325</v>
      </c>
    </row>
    <row r="227" spans="1:17" x14ac:dyDescent="0.25">
      <c r="A227">
        <v>10226</v>
      </c>
      <c r="B227" s="1">
        <v>45883</v>
      </c>
      <c r="C227">
        <v>3400</v>
      </c>
      <c r="D227" t="s">
        <v>23</v>
      </c>
      <c r="E227" t="s">
        <v>18</v>
      </c>
      <c r="F227" t="s">
        <v>25</v>
      </c>
      <c r="G227" t="s">
        <v>20</v>
      </c>
      <c r="H227">
        <v>7</v>
      </c>
      <c r="I227">
        <v>217</v>
      </c>
      <c r="J227">
        <v>15</v>
      </c>
      <c r="K227">
        <v>1519</v>
      </c>
      <c r="L227">
        <v>227.85</v>
      </c>
      <c r="M227">
        <v>1291.1500000000001</v>
      </c>
      <c r="N227">
        <v>109.32</v>
      </c>
      <c r="O227">
        <v>765.24</v>
      </c>
      <c r="P227">
        <v>525.91</v>
      </c>
      <c r="Q227">
        <v>40.731905665492</v>
      </c>
    </row>
    <row r="228" spans="1:17" x14ac:dyDescent="0.25">
      <c r="A228">
        <v>10227</v>
      </c>
      <c r="B228" s="1">
        <v>45884</v>
      </c>
      <c r="C228">
        <v>3901</v>
      </c>
      <c r="D228" t="s">
        <v>17</v>
      </c>
      <c r="E228" t="s">
        <v>24</v>
      </c>
      <c r="F228" t="s">
        <v>26</v>
      </c>
      <c r="G228" t="s">
        <v>20</v>
      </c>
      <c r="H228">
        <v>6</v>
      </c>
      <c r="I228">
        <v>187.55</v>
      </c>
      <c r="J228">
        <v>10</v>
      </c>
      <c r="K228">
        <v>1125.3</v>
      </c>
      <c r="L228">
        <v>112.53</v>
      </c>
      <c r="M228">
        <v>1012.77</v>
      </c>
      <c r="N228">
        <v>128.06</v>
      </c>
      <c r="O228">
        <v>768.36</v>
      </c>
      <c r="P228">
        <v>244.41</v>
      </c>
      <c r="Q228">
        <v>24.132823839568701</v>
      </c>
    </row>
    <row r="229" spans="1:17" x14ac:dyDescent="0.25">
      <c r="A229">
        <v>10228</v>
      </c>
      <c r="B229" s="1">
        <v>45885</v>
      </c>
      <c r="C229">
        <v>3035</v>
      </c>
      <c r="D229" t="s">
        <v>23</v>
      </c>
      <c r="E229" t="s">
        <v>24</v>
      </c>
      <c r="F229" t="s">
        <v>19</v>
      </c>
      <c r="G229" t="s">
        <v>20</v>
      </c>
      <c r="H229">
        <v>5</v>
      </c>
      <c r="I229">
        <v>86.37</v>
      </c>
      <c r="J229">
        <v>0</v>
      </c>
      <c r="K229">
        <v>431.85</v>
      </c>
      <c r="L229">
        <v>0</v>
      </c>
      <c r="M229">
        <v>431.85</v>
      </c>
      <c r="N229">
        <v>26.21</v>
      </c>
      <c r="O229">
        <v>131.05000000000001</v>
      </c>
      <c r="P229">
        <v>300.8</v>
      </c>
      <c r="Q229">
        <v>69.653814982053902</v>
      </c>
    </row>
    <row r="230" spans="1:17" x14ac:dyDescent="0.25">
      <c r="A230">
        <v>10229</v>
      </c>
      <c r="B230" s="1">
        <v>45886</v>
      </c>
      <c r="C230">
        <v>3589</v>
      </c>
      <c r="D230" t="s">
        <v>17</v>
      </c>
      <c r="E230" t="s">
        <v>24</v>
      </c>
      <c r="F230" t="s">
        <v>25</v>
      </c>
      <c r="G230" t="s">
        <v>28</v>
      </c>
      <c r="H230">
        <v>5</v>
      </c>
      <c r="I230">
        <v>31.14</v>
      </c>
      <c r="J230">
        <v>20</v>
      </c>
      <c r="K230">
        <v>155.69999999999999</v>
      </c>
      <c r="L230">
        <v>31.14</v>
      </c>
      <c r="M230">
        <v>124.55999999999899</v>
      </c>
      <c r="N230">
        <v>50.35</v>
      </c>
      <c r="O230">
        <v>251.75</v>
      </c>
      <c r="P230">
        <v>-127.19</v>
      </c>
      <c r="Q230">
        <v>-102.11143224148999</v>
      </c>
    </row>
    <row r="231" spans="1:17" x14ac:dyDescent="0.25">
      <c r="A231">
        <v>10230</v>
      </c>
      <c r="B231" s="1">
        <v>45887</v>
      </c>
      <c r="C231">
        <v>3288</v>
      </c>
      <c r="D231" t="s">
        <v>29</v>
      </c>
      <c r="E231" t="s">
        <v>24</v>
      </c>
      <c r="F231" t="s">
        <v>26</v>
      </c>
      <c r="G231" t="s">
        <v>27</v>
      </c>
      <c r="H231">
        <v>5</v>
      </c>
      <c r="I231">
        <v>101.81</v>
      </c>
      <c r="J231">
        <v>20</v>
      </c>
      <c r="K231">
        <v>509.05</v>
      </c>
      <c r="L231">
        <v>101.81</v>
      </c>
      <c r="M231">
        <v>407.24</v>
      </c>
      <c r="N231">
        <v>8.6300000000000008</v>
      </c>
      <c r="O231">
        <v>43.15</v>
      </c>
      <c r="P231">
        <v>364.09</v>
      </c>
      <c r="Q231">
        <v>89.404282486985494</v>
      </c>
    </row>
    <row r="232" spans="1:17" x14ac:dyDescent="0.25">
      <c r="A232">
        <v>10231</v>
      </c>
      <c r="B232" s="1">
        <v>45888</v>
      </c>
      <c r="C232">
        <v>3629</v>
      </c>
      <c r="D232" t="s">
        <v>21</v>
      </c>
      <c r="E232" t="s">
        <v>18</v>
      </c>
      <c r="F232" t="s">
        <v>26</v>
      </c>
      <c r="G232" t="s">
        <v>22</v>
      </c>
      <c r="H232">
        <v>5</v>
      </c>
      <c r="I232">
        <v>155.32</v>
      </c>
      <c r="J232">
        <v>5</v>
      </c>
      <c r="K232">
        <v>776.599999999999</v>
      </c>
      <c r="L232">
        <v>38.83</v>
      </c>
      <c r="M232">
        <v>737.76999999999896</v>
      </c>
      <c r="N232">
        <v>95.48</v>
      </c>
      <c r="O232">
        <v>477.4</v>
      </c>
      <c r="P232">
        <v>260.36999999999898</v>
      </c>
      <c r="Q232">
        <v>35.291486506634797</v>
      </c>
    </row>
    <row r="233" spans="1:17" x14ac:dyDescent="0.25">
      <c r="A233">
        <v>10232</v>
      </c>
      <c r="B233" s="1">
        <v>45889</v>
      </c>
      <c r="C233">
        <v>3727</v>
      </c>
      <c r="D233" t="s">
        <v>21</v>
      </c>
      <c r="E233" t="s">
        <v>18</v>
      </c>
      <c r="F233" t="s">
        <v>26</v>
      </c>
      <c r="G233" t="s">
        <v>32</v>
      </c>
      <c r="H233">
        <v>4</v>
      </c>
      <c r="I233">
        <v>52.23</v>
      </c>
      <c r="J233">
        <v>0</v>
      </c>
      <c r="K233">
        <v>208.92</v>
      </c>
      <c r="L233">
        <v>0</v>
      </c>
      <c r="M233">
        <v>208.92</v>
      </c>
      <c r="N233">
        <v>138.30000000000001</v>
      </c>
      <c r="O233">
        <v>553.20000000000005</v>
      </c>
      <c r="P233">
        <v>-344.28</v>
      </c>
      <c r="Q233">
        <v>-164.79035037334799</v>
      </c>
    </row>
    <row r="234" spans="1:17" x14ac:dyDescent="0.25">
      <c r="A234">
        <v>10233</v>
      </c>
      <c r="B234" s="1">
        <v>45890</v>
      </c>
      <c r="C234">
        <v>3991</v>
      </c>
      <c r="D234" t="s">
        <v>17</v>
      </c>
      <c r="E234" t="s">
        <v>24</v>
      </c>
      <c r="F234" t="s">
        <v>33</v>
      </c>
      <c r="G234" t="s">
        <v>20</v>
      </c>
      <c r="H234">
        <v>6</v>
      </c>
      <c r="I234">
        <v>197.45</v>
      </c>
      <c r="J234">
        <v>10</v>
      </c>
      <c r="K234">
        <v>1184.69999999999</v>
      </c>
      <c r="L234">
        <v>118.469999999999</v>
      </c>
      <c r="M234">
        <v>1066.22999999999</v>
      </c>
      <c r="N234">
        <v>5.69</v>
      </c>
      <c r="O234">
        <v>34.14</v>
      </c>
      <c r="P234">
        <v>1032.0899999999899</v>
      </c>
      <c r="Q234">
        <v>96.798064207534907</v>
      </c>
    </row>
    <row r="235" spans="1:17" x14ac:dyDescent="0.25">
      <c r="A235">
        <v>10234</v>
      </c>
      <c r="B235" s="1">
        <v>45891</v>
      </c>
      <c r="C235">
        <v>3161</v>
      </c>
      <c r="D235" t="s">
        <v>23</v>
      </c>
      <c r="E235" t="s">
        <v>18</v>
      </c>
      <c r="F235" t="s">
        <v>25</v>
      </c>
      <c r="G235" t="s">
        <v>22</v>
      </c>
      <c r="H235">
        <v>7</v>
      </c>
      <c r="I235">
        <v>192.7</v>
      </c>
      <c r="J235">
        <v>10</v>
      </c>
      <c r="K235">
        <v>1348.8999999999901</v>
      </c>
      <c r="L235">
        <v>134.88999999999999</v>
      </c>
      <c r="M235">
        <v>1214.00999999999</v>
      </c>
      <c r="N235">
        <v>23.31</v>
      </c>
      <c r="O235">
        <v>163.16999999999999</v>
      </c>
      <c r="P235">
        <v>1050.8399999999899</v>
      </c>
      <c r="Q235">
        <v>86.559418785677195</v>
      </c>
    </row>
    <row r="236" spans="1:17" x14ac:dyDescent="0.25">
      <c r="A236">
        <v>10235</v>
      </c>
      <c r="B236" s="1">
        <v>45892</v>
      </c>
      <c r="C236">
        <v>3045</v>
      </c>
      <c r="D236" t="s">
        <v>17</v>
      </c>
      <c r="E236" t="s">
        <v>24</v>
      </c>
      <c r="F236" t="s">
        <v>26</v>
      </c>
      <c r="G236" t="s">
        <v>31</v>
      </c>
      <c r="H236">
        <v>7</v>
      </c>
      <c r="I236">
        <v>160.15</v>
      </c>
      <c r="J236">
        <v>0</v>
      </c>
      <c r="K236">
        <v>1121.05</v>
      </c>
      <c r="L236">
        <v>0</v>
      </c>
      <c r="M236">
        <v>1121.05</v>
      </c>
      <c r="N236">
        <v>34.01</v>
      </c>
      <c r="O236">
        <v>238.07</v>
      </c>
      <c r="P236">
        <v>882.98</v>
      </c>
      <c r="Q236">
        <v>78.763659069622193</v>
      </c>
    </row>
    <row r="237" spans="1:17" x14ac:dyDescent="0.25">
      <c r="A237">
        <v>10236</v>
      </c>
      <c r="B237" s="1">
        <v>45893</v>
      </c>
      <c r="C237">
        <v>3936</v>
      </c>
      <c r="D237" t="s">
        <v>29</v>
      </c>
      <c r="E237" t="s">
        <v>18</v>
      </c>
      <c r="F237" t="s">
        <v>33</v>
      </c>
      <c r="G237" t="s">
        <v>30</v>
      </c>
      <c r="H237">
        <v>9</v>
      </c>
      <c r="I237">
        <v>222.86</v>
      </c>
      <c r="J237">
        <v>5</v>
      </c>
      <c r="K237">
        <v>2005.74</v>
      </c>
      <c r="L237">
        <v>100.28700000000001</v>
      </c>
      <c r="M237">
        <v>1905.453</v>
      </c>
      <c r="N237">
        <v>117.99</v>
      </c>
      <c r="O237">
        <v>1061.9099999999901</v>
      </c>
      <c r="P237">
        <v>843.54300000000001</v>
      </c>
      <c r="Q237">
        <v>44.269945257112099</v>
      </c>
    </row>
    <row r="238" spans="1:17" x14ac:dyDescent="0.25">
      <c r="A238">
        <v>10237</v>
      </c>
      <c r="B238" s="1">
        <v>45894</v>
      </c>
      <c r="C238">
        <v>3628</v>
      </c>
      <c r="D238" t="s">
        <v>17</v>
      </c>
      <c r="E238" t="s">
        <v>18</v>
      </c>
      <c r="F238" t="s">
        <v>25</v>
      </c>
      <c r="G238" t="s">
        <v>28</v>
      </c>
      <c r="H238">
        <v>4</v>
      </c>
      <c r="I238">
        <v>61.05</v>
      </c>
      <c r="J238">
        <v>20</v>
      </c>
      <c r="K238">
        <v>244.2</v>
      </c>
      <c r="L238">
        <v>48.84</v>
      </c>
      <c r="M238">
        <v>195.35999999999899</v>
      </c>
      <c r="N238">
        <v>58.64</v>
      </c>
      <c r="O238">
        <v>234.56</v>
      </c>
      <c r="P238">
        <v>-39.200000000000003</v>
      </c>
      <c r="Q238">
        <v>-20.065520065520001</v>
      </c>
    </row>
    <row r="239" spans="1:17" x14ac:dyDescent="0.25">
      <c r="A239">
        <v>10238</v>
      </c>
      <c r="B239" s="1">
        <v>45895</v>
      </c>
      <c r="C239">
        <v>3475</v>
      </c>
      <c r="D239" t="s">
        <v>17</v>
      </c>
      <c r="E239" t="s">
        <v>18</v>
      </c>
      <c r="F239" t="s">
        <v>26</v>
      </c>
      <c r="G239" t="s">
        <v>30</v>
      </c>
      <c r="H239">
        <v>7</v>
      </c>
      <c r="I239">
        <v>72.91</v>
      </c>
      <c r="J239">
        <v>0</v>
      </c>
      <c r="K239">
        <v>510.37</v>
      </c>
      <c r="L239">
        <v>0</v>
      </c>
      <c r="M239">
        <v>510.37</v>
      </c>
      <c r="N239">
        <v>33.72</v>
      </c>
      <c r="O239">
        <v>236.04</v>
      </c>
      <c r="P239">
        <v>274.33</v>
      </c>
      <c r="Q239">
        <v>53.751200109724302</v>
      </c>
    </row>
    <row r="240" spans="1:17" x14ac:dyDescent="0.25">
      <c r="A240">
        <v>10239</v>
      </c>
      <c r="B240" s="1">
        <v>45896</v>
      </c>
      <c r="C240">
        <v>3398</v>
      </c>
      <c r="D240" t="s">
        <v>23</v>
      </c>
      <c r="E240" t="s">
        <v>18</v>
      </c>
      <c r="F240" t="s">
        <v>26</v>
      </c>
      <c r="G240" t="s">
        <v>31</v>
      </c>
      <c r="H240">
        <v>8</v>
      </c>
      <c r="I240">
        <v>40.47</v>
      </c>
      <c r="J240">
        <v>0</v>
      </c>
      <c r="K240">
        <v>323.76</v>
      </c>
      <c r="L240">
        <v>0</v>
      </c>
      <c r="M240">
        <v>323.76</v>
      </c>
      <c r="N240">
        <v>58.99</v>
      </c>
      <c r="O240">
        <v>471.92</v>
      </c>
      <c r="P240">
        <v>-148.16</v>
      </c>
      <c r="Q240">
        <v>-45.762293056585101</v>
      </c>
    </row>
    <row r="241" spans="1:17" x14ac:dyDescent="0.25">
      <c r="A241">
        <v>10240</v>
      </c>
      <c r="B241" s="1">
        <v>45897</v>
      </c>
      <c r="C241">
        <v>3045</v>
      </c>
      <c r="D241" t="s">
        <v>23</v>
      </c>
      <c r="E241" t="s">
        <v>24</v>
      </c>
      <c r="F241" t="s">
        <v>33</v>
      </c>
      <c r="G241" t="s">
        <v>20</v>
      </c>
      <c r="H241">
        <v>8</v>
      </c>
      <c r="I241">
        <v>136.13999999999999</v>
      </c>
      <c r="J241">
        <v>10</v>
      </c>
      <c r="K241">
        <v>1089.1199999999999</v>
      </c>
      <c r="L241">
        <v>108.911999999999</v>
      </c>
      <c r="M241">
        <v>980.20799999999895</v>
      </c>
      <c r="N241">
        <v>42.16</v>
      </c>
      <c r="O241">
        <v>337.28</v>
      </c>
      <c r="P241">
        <v>642.92799999999897</v>
      </c>
      <c r="Q241">
        <v>65.590976609046194</v>
      </c>
    </row>
    <row r="242" spans="1:17" x14ac:dyDescent="0.25">
      <c r="A242">
        <v>10241</v>
      </c>
      <c r="B242" s="1">
        <v>45898</v>
      </c>
      <c r="C242">
        <v>3873</v>
      </c>
      <c r="D242" t="s">
        <v>21</v>
      </c>
      <c r="E242" t="s">
        <v>24</v>
      </c>
      <c r="F242" t="s">
        <v>25</v>
      </c>
      <c r="G242" t="s">
        <v>31</v>
      </c>
      <c r="H242">
        <v>2</v>
      </c>
      <c r="I242">
        <v>85.72</v>
      </c>
      <c r="J242">
        <v>10</v>
      </c>
      <c r="K242">
        <v>171.44</v>
      </c>
      <c r="L242">
        <v>17.143999999999998</v>
      </c>
      <c r="M242">
        <v>154.29599999999999</v>
      </c>
      <c r="N242">
        <v>41.32</v>
      </c>
      <c r="O242">
        <v>82.64</v>
      </c>
      <c r="P242">
        <v>71.655999999999906</v>
      </c>
      <c r="Q242">
        <v>46.4406076631928</v>
      </c>
    </row>
    <row r="243" spans="1:17" x14ac:dyDescent="0.25">
      <c r="A243">
        <v>10242</v>
      </c>
      <c r="B243" s="1">
        <v>45899</v>
      </c>
      <c r="C243">
        <v>3042</v>
      </c>
      <c r="D243" t="s">
        <v>29</v>
      </c>
      <c r="E243" t="s">
        <v>18</v>
      </c>
      <c r="F243" t="s">
        <v>19</v>
      </c>
      <c r="G243" t="s">
        <v>22</v>
      </c>
      <c r="H243">
        <v>5</v>
      </c>
      <c r="I243">
        <v>67.180000000000007</v>
      </c>
      <c r="J243">
        <v>10</v>
      </c>
      <c r="K243">
        <v>335.9</v>
      </c>
      <c r="L243">
        <v>33.590000000000003</v>
      </c>
      <c r="M243">
        <v>302.31</v>
      </c>
      <c r="N243">
        <v>87.05</v>
      </c>
      <c r="O243">
        <v>435.25</v>
      </c>
      <c r="P243">
        <v>-132.939999999999</v>
      </c>
      <c r="Q243">
        <v>-43.974727928285503</v>
      </c>
    </row>
    <row r="244" spans="1:17" x14ac:dyDescent="0.25">
      <c r="A244">
        <v>10243</v>
      </c>
      <c r="B244" s="1">
        <v>45900</v>
      </c>
      <c r="C244">
        <v>3864</v>
      </c>
      <c r="D244" t="s">
        <v>29</v>
      </c>
      <c r="E244" t="s">
        <v>18</v>
      </c>
      <c r="F244" t="s">
        <v>19</v>
      </c>
      <c r="G244" t="s">
        <v>22</v>
      </c>
      <c r="H244">
        <v>3</v>
      </c>
      <c r="I244">
        <v>26.95</v>
      </c>
      <c r="J244">
        <v>15</v>
      </c>
      <c r="K244">
        <v>80.849999999999994</v>
      </c>
      <c r="L244">
        <v>12.1275</v>
      </c>
      <c r="M244">
        <v>68.722499999999997</v>
      </c>
      <c r="N244">
        <v>102.21</v>
      </c>
      <c r="O244">
        <v>306.63</v>
      </c>
      <c r="P244">
        <v>-237.9075</v>
      </c>
      <c r="Q244">
        <v>-346.18574702608299</v>
      </c>
    </row>
    <row r="245" spans="1:17" x14ac:dyDescent="0.25">
      <c r="A245">
        <v>10244</v>
      </c>
      <c r="B245" s="1">
        <v>45901</v>
      </c>
      <c r="C245">
        <v>3290</v>
      </c>
      <c r="D245" t="s">
        <v>29</v>
      </c>
      <c r="E245" t="s">
        <v>24</v>
      </c>
      <c r="F245" t="s">
        <v>33</v>
      </c>
      <c r="G245" t="s">
        <v>31</v>
      </c>
      <c r="H245">
        <v>3</v>
      </c>
      <c r="I245">
        <v>248.27</v>
      </c>
      <c r="J245">
        <v>15</v>
      </c>
      <c r="K245">
        <v>744.81</v>
      </c>
      <c r="L245">
        <v>111.72150000000001</v>
      </c>
      <c r="M245">
        <v>633.08849999999995</v>
      </c>
      <c r="N245">
        <v>41.16</v>
      </c>
      <c r="O245">
        <v>123.479999999999</v>
      </c>
      <c r="P245">
        <v>509.60849999999999</v>
      </c>
      <c r="Q245">
        <v>80.495617911239805</v>
      </c>
    </row>
    <row r="246" spans="1:17" x14ac:dyDescent="0.25">
      <c r="A246">
        <v>10245</v>
      </c>
      <c r="B246" s="1">
        <v>45902</v>
      </c>
      <c r="C246">
        <v>3095</v>
      </c>
      <c r="D246" t="s">
        <v>17</v>
      </c>
      <c r="E246" t="s">
        <v>24</v>
      </c>
      <c r="F246" t="s">
        <v>26</v>
      </c>
      <c r="G246" t="s">
        <v>20</v>
      </c>
      <c r="H246">
        <v>1</v>
      </c>
      <c r="I246">
        <v>205.98</v>
      </c>
      <c r="J246">
        <v>0</v>
      </c>
      <c r="K246">
        <v>205.98</v>
      </c>
      <c r="L246">
        <v>0</v>
      </c>
      <c r="M246">
        <v>205.98</v>
      </c>
      <c r="N246">
        <v>84.74</v>
      </c>
      <c r="O246">
        <v>84.74</v>
      </c>
      <c r="P246">
        <v>121.24</v>
      </c>
      <c r="Q246">
        <v>58.860083503252703</v>
      </c>
    </row>
    <row r="247" spans="1:17" x14ac:dyDescent="0.25">
      <c r="A247">
        <v>10246</v>
      </c>
      <c r="B247" s="1">
        <v>45903</v>
      </c>
      <c r="C247">
        <v>3880</v>
      </c>
      <c r="D247" t="s">
        <v>29</v>
      </c>
      <c r="E247" t="s">
        <v>24</v>
      </c>
      <c r="F247" t="s">
        <v>19</v>
      </c>
      <c r="G247" t="s">
        <v>31</v>
      </c>
      <c r="H247">
        <v>2</v>
      </c>
      <c r="I247">
        <v>88.34</v>
      </c>
      <c r="J247">
        <v>10</v>
      </c>
      <c r="K247">
        <v>176.68</v>
      </c>
      <c r="L247">
        <v>17.667999999999999</v>
      </c>
      <c r="M247">
        <v>159.012</v>
      </c>
      <c r="N247">
        <v>9.32</v>
      </c>
      <c r="O247">
        <v>18.64</v>
      </c>
      <c r="P247">
        <v>140.37200000000001</v>
      </c>
      <c r="Q247">
        <v>88.277614268105495</v>
      </c>
    </row>
    <row r="248" spans="1:17" x14ac:dyDescent="0.25">
      <c r="A248">
        <v>10247</v>
      </c>
      <c r="B248" s="1">
        <v>45904</v>
      </c>
      <c r="C248">
        <v>3183</v>
      </c>
      <c r="D248" t="s">
        <v>23</v>
      </c>
      <c r="E248" t="s">
        <v>18</v>
      </c>
      <c r="F248" t="s">
        <v>33</v>
      </c>
      <c r="G248" t="s">
        <v>20</v>
      </c>
      <c r="H248">
        <v>5</v>
      </c>
      <c r="I248">
        <v>108.1</v>
      </c>
      <c r="J248">
        <v>15</v>
      </c>
      <c r="K248">
        <v>540.5</v>
      </c>
      <c r="L248">
        <v>81.075000000000003</v>
      </c>
      <c r="M248">
        <v>459.42500000000001</v>
      </c>
      <c r="N248">
        <v>146</v>
      </c>
      <c r="O248">
        <v>730</v>
      </c>
      <c r="P248">
        <v>-270.57499999999999</v>
      </c>
      <c r="Q248">
        <v>-58.894270011427302</v>
      </c>
    </row>
    <row r="249" spans="1:17" x14ac:dyDescent="0.25">
      <c r="A249">
        <v>10248</v>
      </c>
      <c r="B249" s="1">
        <v>45905</v>
      </c>
      <c r="C249">
        <v>3230</v>
      </c>
      <c r="D249" t="s">
        <v>23</v>
      </c>
      <c r="E249" t="s">
        <v>24</v>
      </c>
      <c r="F249" t="s">
        <v>19</v>
      </c>
      <c r="G249" t="s">
        <v>20</v>
      </c>
      <c r="H249">
        <v>6</v>
      </c>
      <c r="I249">
        <v>144.57</v>
      </c>
      <c r="J249">
        <v>0</v>
      </c>
      <c r="K249">
        <v>867.42</v>
      </c>
      <c r="L249">
        <v>0</v>
      </c>
      <c r="M249">
        <v>867.42</v>
      </c>
      <c r="N249">
        <v>19.86</v>
      </c>
      <c r="O249">
        <v>119.16</v>
      </c>
      <c r="P249">
        <v>748.26</v>
      </c>
      <c r="Q249">
        <v>86.262710105831005</v>
      </c>
    </row>
    <row r="250" spans="1:17" x14ac:dyDescent="0.25">
      <c r="A250">
        <v>10249</v>
      </c>
      <c r="B250" s="1">
        <v>45906</v>
      </c>
      <c r="C250">
        <v>3914</v>
      </c>
      <c r="D250" t="s">
        <v>23</v>
      </c>
      <c r="E250" t="s">
        <v>24</v>
      </c>
      <c r="F250" t="s">
        <v>33</v>
      </c>
      <c r="G250" t="s">
        <v>20</v>
      </c>
      <c r="H250">
        <v>1</v>
      </c>
      <c r="I250">
        <v>22.48</v>
      </c>
      <c r="J250">
        <v>15</v>
      </c>
      <c r="K250">
        <v>22.48</v>
      </c>
      <c r="L250">
        <v>3.3719999999999999</v>
      </c>
      <c r="M250">
        <v>19.108000000000001</v>
      </c>
      <c r="N250">
        <v>86.04</v>
      </c>
      <c r="O250">
        <v>86.04</v>
      </c>
      <c r="P250">
        <v>-66.932000000000002</v>
      </c>
      <c r="Q250">
        <v>-350.28260414485999</v>
      </c>
    </row>
    <row r="251" spans="1:17" x14ac:dyDescent="0.25">
      <c r="A251">
        <v>10250</v>
      </c>
      <c r="B251" s="1">
        <v>45907</v>
      </c>
      <c r="C251">
        <v>3265</v>
      </c>
      <c r="D251" t="s">
        <v>21</v>
      </c>
      <c r="E251" t="s">
        <v>24</v>
      </c>
      <c r="F251" t="s">
        <v>26</v>
      </c>
      <c r="G251" t="s">
        <v>27</v>
      </c>
      <c r="H251">
        <v>6</v>
      </c>
      <c r="I251">
        <v>100.16</v>
      </c>
      <c r="J251">
        <v>5</v>
      </c>
      <c r="K251">
        <v>600.96</v>
      </c>
      <c r="L251">
        <v>30.047999999999998</v>
      </c>
      <c r="M251">
        <v>570.91200000000003</v>
      </c>
      <c r="N251">
        <v>149.57</v>
      </c>
      <c r="O251">
        <v>897.42</v>
      </c>
      <c r="P251">
        <v>-326.50799999999902</v>
      </c>
      <c r="Q251">
        <v>-57.190600302673602</v>
      </c>
    </row>
    <row r="252" spans="1:17" x14ac:dyDescent="0.25">
      <c r="A252">
        <v>10251</v>
      </c>
      <c r="B252" s="1">
        <v>45908</v>
      </c>
      <c r="C252">
        <v>3969</v>
      </c>
      <c r="D252" t="s">
        <v>29</v>
      </c>
      <c r="E252" t="s">
        <v>18</v>
      </c>
      <c r="F252" t="s">
        <v>19</v>
      </c>
      <c r="G252" t="s">
        <v>30</v>
      </c>
      <c r="H252">
        <v>5</v>
      </c>
      <c r="I252">
        <v>147.94</v>
      </c>
      <c r="J252">
        <v>20</v>
      </c>
      <c r="K252">
        <v>739.7</v>
      </c>
      <c r="L252">
        <v>147.94</v>
      </c>
      <c r="M252">
        <v>591.76</v>
      </c>
      <c r="N252">
        <v>51.67</v>
      </c>
      <c r="O252">
        <v>258.35000000000002</v>
      </c>
      <c r="P252">
        <v>333.409999999999</v>
      </c>
      <c r="Q252">
        <v>56.342098147897701</v>
      </c>
    </row>
    <row r="253" spans="1:17" x14ac:dyDescent="0.25">
      <c r="A253">
        <v>10252</v>
      </c>
      <c r="B253" s="1">
        <v>45909</v>
      </c>
      <c r="C253">
        <v>3269</v>
      </c>
      <c r="D253" t="s">
        <v>23</v>
      </c>
      <c r="E253" t="s">
        <v>24</v>
      </c>
      <c r="F253" t="s">
        <v>19</v>
      </c>
      <c r="G253" t="s">
        <v>32</v>
      </c>
      <c r="H253">
        <v>2</v>
      </c>
      <c r="I253">
        <v>240.7</v>
      </c>
      <c r="J253">
        <v>0</v>
      </c>
      <c r="K253">
        <v>481.4</v>
      </c>
      <c r="L253">
        <v>0</v>
      </c>
      <c r="M253">
        <v>481.4</v>
      </c>
      <c r="N253">
        <v>46.63</v>
      </c>
      <c r="O253">
        <v>93.26</v>
      </c>
      <c r="P253">
        <v>388.14</v>
      </c>
      <c r="Q253">
        <v>80.627336933942601</v>
      </c>
    </row>
    <row r="254" spans="1:17" x14ac:dyDescent="0.25">
      <c r="A254">
        <v>10253</v>
      </c>
      <c r="B254" s="1">
        <v>45910</v>
      </c>
      <c r="C254">
        <v>3341</v>
      </c>
      <c r="D254" t="s">
        <v>29</v>
      </c>
      <c r="E254" t="s">
        <v>18</v>
      </c>
      <c r="F254" t="s">
        <v>26</v>
      </c>
      <c r="G254" t="s">
        <v>20</v>
      </c>
      <c r="H254">
        <v>2</v>
      </c>
      <c r="I254">
        <v>241.37</v>
      </c>
      <c r="J254">
        <v>10</v>
      </c>
      <c r="K254">
        <v>482.74</v>
      </c>
      <c r="L254">
        <v>48.274000000000001</v>
      </c>
      <c r="M254">
        <v>434.46600000000001</v>
      </c>
      <c r="N254">
        <v>112.06</v>
      </c>
      <c r="O254">
        <v>224.12</v>
      </c>
      <c r="P254">
        <v>210.346</v>
      </c>
      <c r="Q254">
        <v>48.414835683344599</v>
      </c>
    </row>
    <row r="255" spans="1:17" x14ac:dyDescent="0.25">
      <c r="A255">
        <v>10254</v>
      </c>
      <c r="B255" s="1">
        <v>45911</v>
      </c>
      <c r="C255">
        <v>3939</v>
      </c>
      <c r="D255" t="s">
        <v>17</v>
      </c>
      <c r="E255" t="s">
        <v>24</v>
      </c>
      <c r="F255" t="s">
        <v>33</v>
      </c>
      <c r="G255" t="s">
        <v>20</v>
      </c>
      <c r="H255">
        <v>3</v>
      </c>
      <c r="I255">
        <v>191.89</v>
      </c>
      <c r="J255">
        <v>5</v>
      </c>
      <c r="K255">
        <v>575.66999999999996</v>
      </c>
      <c r="L255">
        <v>28.7835</v>
      </c>
      <c r="M255">
        <v>546.88649999999996</v>
      </c>
      <c r="N255">
        <v>72.53</v>
      </c>
      <c r="O255">
        <v>217.59</v>
      </c>
      <c r="P255">
        <v>329.29649999999901</v>
      </c>
      <c r="Q255">
        <v>60.212950950517097</v>
      </c>
    </row>
    <row r="256" spans="1:17" x14ac:dyDescent="0.25">
      <c r="A256">
        <v>10255</v>
      </c>
      <c r="B256" s="1">
        <v>45912</v>
      </c>
      <c r="C256">
        <v>3001</v>
      </c>
      <c r="D256" t="s">
        <v>23</v>
      </c>
      <c r="E256" t="s">
        <v>24</v>
      </c>
      <c r="F256" t="s">
        <v>19</v>
      </c>
      <c r="G256" t="s">
        <v>22</v>
      </c>
      <c r="H256">
        <v>4</v>
      </c>
      <c r="I256">
        <v>22.21</v>
      </c>
      <c r="J256">
        <v>10</v>
      </c>
      <c r="K256">
        <v>88.84</v>
      </c>
      <c r="L256">
        <v>8.8840000000000003</v>
      </c>
      <c r="M256">
        <v>79.956000000000003</v>
      </c>
      <c r="N256">
        <v>43.65</v>
      </c>
      <c r="O256">
        <v>174.6</v>
      </c>
      <c r="P256">
        <v>-94.643999999999906</v>
      </c>
      <c r="Q256">
        <v>-118.370103556956</v>
      </c>
    </row>
    <row r="257" spans="1:17" x14ac:dyDescent="0.25">
      <c r="A257">
        <v>10256</v>
      </c>
      <c r="B257" s="1">
        <v>45913</v>
      </c>
      <c r="C257">
        <v>3287</v>
      </c>
      <c r="D257" t="s">
        <v>29</v>
      </c>
      <c r="E257" t="s">
        <v>18</v>
      </c>
      <c r="F257" t="s">
        <v>33</v>
      </c>
      <c r="G257" t="s">
        <v>30</v>
      </c>
      <c r="H257">
        <v>6</v>
      </c>
      <c r="I257">
        <v>154.86000000000001</v>
      </c>
      <c r="J257">
        <v>10</v>
      </c>
      <c r="K257">
        <v>929.16</v>
      </c>
      <c r="L257">
        <v>92.915999999999997</v>
      </c>
      <c r="M257">
        <v>836.24400000000003</v>
      </c>
      <c r="N257">
        <v>88.07</v>
      </c>
      <c r="O257">
        <v>528.41999999999996</v>
      </c>
      <c r="P257">
        <v>307.82400000000001</v>
      </c>
      <c r="Q257">
        <v>36.810308952889301</v>
      </c>
    </row>
    <row r="258" spans="1:17" x14ac:dyDescent="0.25">
      <c r="A258">
        <v>10257</v>
      </c>
      <c r="B258" s="1">
        <v>45914</v>
      </c>
      <c r="C258">
        <v>3910</v>
      </c>
      <c r="D258" t="s">
        <v>21</v>
      </c>
      <c r="E258" t="s">
        <v>18</v>
      </c>
      <c r="F258" t="s">
        <v>26</v>
      </c>
      <c r="G258" t="s">
        <v>27</v>
      </c>
      <c r="H258">
        <v>1</v>
      </c>
      <c r="I258">
        <v>120.62</v>
      </c>
      <c r="J258">
        <v>5</v>
      </c>
      <c r="K258">
        <v>120.62</v>
      </c>
      <c r="L258">
        <v>6.0309999999999997</v>
      </c>
      <c r="M258">
        <v>114.589</v>
      </c>
      <c r="N258">
        <v>124.93</v>
      </c>
      <c r="O258">
        <v>124.93</v>
      </c>
      <c r="P258">
        <v>-10.340999999999999</v>
      </c>
      <c r="Q258">
        <v>-9.0244264283657305</v>
      </c>
    </row>
    <row r="259" spans="1:17" x14ac:dyDescent="0.25">
      <c r="A259">
        <v>10258</v>
      </c>
      <c r="B259" s="1">
        <v>45915</v>
      </c>
      <c r="C259">
        <v>3208</v>
      </c>
      <c r="D259" t="s">
        <v>17</v>
      </c>
      <c r="E259" t="s">
        <v>18</v>
      </c>
      <c r="F259" t="s">
        <v>19</v>
      </c>
      <c r="G259" t="s">
        <v>28</v>
      </c>
      <c r="H259">
        <v>6</v>
      </c>
      <c r="I259">
        <v>165.62</v>
      </c>
      <c r="J259">
        <v>0</v>
      </c>
      <c r="K259">
        <v>993.72</v>
      </c>
      <c r="L259">
        <v>0</v>
      </c>
      <c r="M259">
        <v>993.72</v>
      </c>
      <c r="N259">
        <v>102.03</v>
      </c>
      <c r="O259">
        <v>612.17999999999995</v>
      </c>
      <c r="P259">
        <v>381.539999999999</v>
      </c>
      <c r="Q259">
        <v>38.395121362154299</v>
      </c>
    </row>
    <row r="260" spans="1:17" x14ac:dyDescent="0.25">
      <c r="A260">
        <v>10259</v>
      </c>
      <c r="B260" s="1">
        <v>45916</v>
      </c>
      <c r="C260">
        <v>3560</v>
      </c>
      <c r="D260" t="s">
        <v>21</v>
      </c>
      <c r="E260" t="s">
        <v>24</v>
      </c>
      <c r="F260" t="s">
        <v>26</v>
      </c>
      <c r="G260" t="s">
        <v>32</v>
      </c>
      <c r="H260">
        <v>4</v>
      </c>
      <c r="I260">
        <v>104.85</v>
      </c>
      <c r="J260">
        <v>20</v>
      </c>
      <c r="K260">
        <v>419.4</v>
      </c>
      <c r="L260">
        <v>83.88</v>
      </c>
      <c r="M260">
        <v>335.52</v>
      </c>
      <c r="N260">
        <v>39.81</v>
      </c>
      <c r="O260">
        <v>159.24</v>
      </c>
      <c r="P260">
        <v>176.27999999999901</v>
      </c>
      <c r="Q260">
        <v>52.539341917024302</v>
      </c>
    </row>
    <row r="261" spans="1:17" x14ac:dyDescent="0.25">
      <c r="A261">
        <v>10260</v>
      </c>
      <c r="B261" s="1">
        <v>45917</v>
      </c>
      <c r="C261">
        <v>3665</v>
      </c>
      <c r="D261" t="s">
        <v>23</v>
      </c>
      <c r="E261" t="s">
        <v>24</v>
      </c>
      <c r="F261" t="s">
        <v>33</v>
      </c>
      <c r="G261" t="s">
        <v>30</v>
      </c>
      <c r="H261">
        <v>9</v>
      </c>
      <c r="I261">
        <v>129.30000000000001</v>
      </c>
      <c r="J261">
        <v>20</v>
      </c>
      <c r="K261">
        <v>1163.7</v>
      </c>
      <c r="L261">
        <v>232.74</v>
      </c>
      <c r="M261">
        <v>930.96</v>
      </c>
      <c r="N261">
        <v>101.83</v>
      </c>
      <c r="O261">
        <v>916.47</v>
      </c>
      <c r="P261">
        <v>14.49</v>
      </c>
      <c r="Q261">
        <v>1.55645784996133</v>
      </c>
    </row>
    <row r="262" spans="1:17" x14ac:dyDescent="0.25">
      <c r="A262">
        <v>10261</v>
      </c>
      <c r="B262" s="1">
        <v>45918</v>
      </c>
      <c r="C262">
        <v>3497</v>
      </c>
      <c r="D262" t="s">
        <v>17</v>
      </c>
      <c r="E262" t="s">
        <v>18</v>
      </c>
      <c r="F262" t="s">
        <v>19</v>
      </c>
      <c r="G262" t="s">
        <v>30</v>
      </c>
      <c r="H262">
        <v>6</v>
      </c>
      <c r="I262">
        <v>117.23</v>
      </c>
      <c r="J262">
        <v>15</v>
      </c>
      <c r="K262">
        <v>703.38</v>
      </c>
      <c r="L262">
        <v>105.506999999999</v>
      </c>
      <c r="M262">
        <v>597.87300000000005</v>
      </c>
      <c r="N262">
        <v>139.83000000000001</v>
      </c>
      <c r="O262">
        <v>838.98</v>
      </c>
      <c r="P262">
        <v>-241.106999999999</v>
      </c>
      <c r="Q262">
        <v>-40.327460848708597</v>
      </c>
    </row>
    <row r="263" spans="1:17" x14ac:dyDescent="0.25">
      <c r="A263">
        <v>10262</v>
      </c>
      <c r="B263" s="1">
        <v>45919</v>
      </c>
      <c r="C263">
        <v>3161</v>
      </c>
      <c r="D263" t="s">
        <v>23</v>
      </c>
      <c r="E263" t="s">
        <v>24</v>
      </c>
      <c r="F263" t="s">
        <v>26</v>
      </c>
      <c r="G263" t="s">
        <v>20</v>
      </c>
      <c r="H263">
        <v>7</v>
      </c>
      <c r="I263">
        <v>42.29</v>
      </c>
      <c r="J263">
        <v>20</v>
      </c>
      <c r="K263">
        <v>296.02999999999997</v>
      </c>
      <c r="L263">
        <v>59.205999999999896</v>
      </c>
      <c r="M263">
        <v>236.82399999999899</v>
      </c>
      <c r="N263">
        <v>33.58</v>
      </c>
      <c r="O263">
        <v>235.06</v>
      </c>
      <c r="P263">
        <v>1.76399999999998</v>
      </c>
      <c r="Q263">
        <v>0.74485694017497395</v>
      </c>
    </row>
    <row r="264" spans="1:17" x14ac:dyDescent="0.25">
      <c r="A264">
        <v>10263</v>
      </c>
      <c r="B264" s="1">
        <v>45920</v>
      </c>
      <c r="C264">
        <v>3981</v>
      </c>
      <c r="D264" t="s">
        <v>23</v>
      </c>
      <c r="E264" t="s">
        <v>24</v>
      </c>
      <c r="F264" t="s">
        <v>33</v>
      </c>
      <c r="G264" t="s">
        <v>30</v>
      </c>
      <c r="H264">
        <v>4</v>
      </c>
      <c r="I264">
        <v>183.68</v>
      </c>
      <c r="J264">
        <v>5</v>
      </c>
      <c r="K264">
        <v>734.72</v>
      </c>
      <c r="L264">
        <v>36.735999999999997</v>
      </c>
      <c r="M264">
        <v>697.98400000000004</v>
      </c>
      <c r="N264">
        <v>99.51</v>
      </c>
      <c r="O264">
        <v>398.04</v>
      </c>
      <c r="P264">
        <v>299.94400000000002</v>
      </c>
      <c r="Q264">
        <v>42.972904823033097</v>
      </c>
    </row>
    <row r="265" spans="1:17" x14ac:dyDescent="0.25">
      <c r="A265">
        <v>10264</v>
      </c>
      <c r="B265" s="1">
        <v>45921</v>
      </c>
      <c r="C265">
        <v>3979</v>
      </c>
      <c r="D265" t="s">
        <v>23</v>
      </c>
      <c r="E265" t="s">
        <v>24</v>
      </c>
      <c r="F265" t="s">
        <v>19</v>
      </c>
      <c r="G265" t="s">
        <v>22</v>
      </c>
      <c r="H265">
        <v>3</v>
      </c>
      <c r="I265">
        <v>11.75</v>
      </c>
      <c r="J265">
        <v>10</v>
      </c>
      <c r="K265">
        <v>35.25</v>
      </c>
      <c r="L265">
        <v>3.5249999999999999</v>
      </c>
      <c r="M265">
        <v>31.725000000000001</v>
      </c>
      <c r="N265">
        <v>77.44</v>
      </c>
      <c r="O265">
        <v>232.32</v>
      </c>
      <c r="P265">
        <v>-200.595</v>
      </c>
      <c r="Q265">
        <v>-632.29314420803701</v>
      </c>
    </row>
    <row r="266" spans="1:17" x14ac:dyDescent="0.25">
      <c r="A266">
        <v>10265</v>
      </c>
      <c r="B266" s="1">
        <v>45922</v>
      </c>
      <c r="C266">
        <v>3255</v>
      </c>
      <c r="D266" t="s">
        <v>17</v>
      </c>
      <c r="E266" t="s">
        <v>24</v>
      </c>
      <c r="F266" t="s">
        <v>19</v>
      </c>
      <c r="G266" t="s">
        <v>30</v>
      </c>
      <c r="H266">
        <v>1</v>
      </c>
      <c r="I266">
        <v>125.42</v>
      </c>
      <c r="J266">
        <v>20</v>
      </c>
      <c r="K266">
        <v>125.42</v>
      </c>
      <c r="L266">
        <v>25.084</v>
      </c>
      <c r="M266">
        <v>100.336</v>
      </c>
      <c r="N266">
        <v>101.19</v>
      </c>
      <c r="O266">
        <v>101.19</v>
      </c>
      <c r="P266">
        <v>-0.85399999999999898</v>
      </c>
      <c r="Q266">
        <v>-0.85114016903205103</v>
      </c>
    </row>
    <row r="267" spans="1:17" x14ac:dyDescent="0.25">
      <c r="A267">
        <v>10266</v>
      </c>
      <c r="B267" s="1">
        <v>45923</v>
      </c>
      <c r="C267">
        <v>3338</v>
      </c>
      <c r="D267" t="s">
        <v>29</v>
      </c>
      <c r="E267" t="s">
        <v>24</v>
      </c>
      <c r="F267" t="s">
        <v>26</v>
      </c>
      <c r="G267" t="s">
        <v>32</v>
      </c>
      <c r="H267">
        <v>1</v>
      </c>
      <c r="I267">
        <v>209.4</v>
      </c>
      <c r="J267">
        <v>10</v>
      </c>
      <c r="K267">
        <v>209.4</v>
      </c>
      <c r="L267">
        <v>20.94</v>
      </c>
      <c r="M267">
        <v>188.46</v>
      </c>
      <c r="N267">
        <v>24.97</v>
      </c>
      <c r="O267">
        <v>24.97</v>
      </c>
      <c r="P267">
        <v>163.49</v>
      </c>
      <c r="Q267">
        <v>86.750504085747593</v>
      </c>
    </row>
    <row r="268" spans="1:17" x14ac:dyDescent="0.25">
      <c r="A268">
        <v>10267</v>
      </c>
      <c r="B268" s="1">
        <v>45924</v>
      </c>
      <c r="C268">
        <v>3576</v>
      </c>
      <c r="D268" t="s">
        <v>29</v>
      </c>
      <c r="E268" t="s">
        <v>18</v>
      </c>
      <c r="F268" t="s">
        <v>19</v>
      </c>
      <c r="G268" t="s">
        <v>32</v>
      </c>
      <c r="H268">
        <v>1</v>
      </c>
      <c r="I268">
        <v>198.66</v>
      </c>
      <c r="J268">
        <v>10</v>
      </c>
      <c r="K268">
        <v>198.66</v>
      </c>
      <c r="L268">
        <v>19.866</v>
      </c>
      <c r="M268">
        <v>178.79399999999899</v>
      </c>
      <c r="N268">
        <v>38.76</v>
      </c>
      <c r="O268">
        <v>38.76</v>
      </c>
      <c r="P268">
        <v>140.03399999999999</v>
      </c>
      <c r="Q268">
        <v>78.321420181885301</v>
      </c>
    </row>
    <row r="269" spans="1:17" x14ac:dyDescent="0.25">
      <c r="A269">
        <v>10268</v>
      </c>
      <c r="B269" s="1">
        <v>45925</v>
      </c>
      <c r="C269">
        <v>3461</v>
      </c>
      <c r="D269" t="s">
        <v>21</v>
      </c>
      <c r="E269" t="s">
        <v>18</v>
      </c>
      <c r="F269" t="s">
        <v>19</v>
      </c>
      <c r="G269" t="s">
        <v>31</v>
      </c>
      <c r="H269">
        <v>5</v>
      </c>
      <c r="I269">
        <v>88.62</v>
      </c>
      <c r="J269">
        <v>5</v>
      </c>
      <c r="K269">
        <v>443.1</v>
      </c>
      <c r="L269">
        <v>22.155000000000001</v>
      </c>
      <c r="M269">
        <v>420.94499999999999</v>
      </c>
      <c r="N269">
        <v>55.4</v>
      </c>
      <c r="O269">
        <v>277</v>
      </c>
      <c r="P269">
        <v>143.94499999999999</v>
      </c>
      <c r="Q269">
        <v>34.195678770385598</v>
      </c>
    </row>
    <row r="270" spans="1:17" x14ac:dyDescent="0.25">
      <c r="A270">
        <v>10269</v>
      </c>
      <c r="B270" s="1">
        <v>45926</v>
      </c>
      <c r="C270">
        <v>3826</v>
      </c>
      <c r="D270" t="s">
        <v>29</v>
      </c>
      <c r="E270" t="s">
        <v>18</v>
      </c>
      <c r="F270" t="s">
        <v>33</v>
      </c>
      <c r="G270" t="s">
        <v>30</v>
      </c>
      <c r="H270">
        <v>2</v>
      </c>
      <c r="I270">
        <v>136.66</v>
      </c>
      <c r="J270">
        <v>10</v>
      </c>
      <c r="K270">
        <v>273.32</v>
      </c>
      <c r="L270">
        <v>27.332000000000001</v>
      </c>
      <c r="M270">
        <v>245.988</v>
      </c>
      <c r="N270">
        <v>126.74</v>
      </c>
      <c r="O270">
        <v>253.48</v>
      </c>
      <c r="P270">
        <v>-7.4919999999999902</v>
      </c>
      <c r="Q270">
        <v>-3.0456770248955101</v>
      </c>
    </row>
    <row r="271" spans="1:17" x14ac:dyDescent="0.25">
      <c r="A271">
        <v>10270</v>
      </c>
      <c r="B271" s="1">
        <v>45927</v>
      </c>
      <c r="C271">
        <v>3266</v>
      </c>
      <c r="D271" t="s">
        <v>21</v>
      </c>
      <c r="E271" t="s">
        <v>24</v>
      </c>
      <c r="F271" t="s">
        <v>25</v>
      </c>
      <c r="G271" t="s">
        <v>32</v>
      </c>
      <c r="H271">
        <v>4</v>
      </c>
      <c r="I271">
        <v>228.33</v>
      </c>
      <c r="J271">
        <v>10</v>
      </c>
      <c r="K271">
        <v>913.32</v>
      </c>
      <c r="L271">
        <v>91.331999999999994</v>
      </c>
      <c r="M271">
        <v>821.98800000000006</v>
      </c>
      <c r="N271">
        <v>60.73</v>
      </c>
      <c r="O271">
        <v>242.92</v>
      </c>
      <c r="P271">
        <v>579.06799999999998</v>
      </c>
      <c r="Q271">
        <v>70.4472571375738</v>
      </c>
    </row>
    <row r="272" spans="1:17" x14ac:dyDescent="0.25">
      <c r="A272">
        <v>10271</v>
      </c>
      <c r="B272" s="1">
        <v>45928</v>
      </c>
      <c r="C272">
        <v>3436</v>
      </c>
      <c r="D272" t="s">
        <v>29</v>
      </c>
      <c r="E272" t="s">
        <v>24</v>
      </c>
      <c r="F272" t="s">
        <v>25</v>
      </c>
      <c r="G272" t="s">
        <v>32</v>
      </c>
      <c r="H272">
        <v>7</v>
      </c>
      <c r="I272">
        <v>84.44</v>
      </c>
      <c r="J272">
        <v>15</v>
      </c>
      <c r="K272">
        <v>591.07999999999902</v>
      </c>
      <c r="L272">
        <v>88.661999999999907</v>
      </c>
      <c r="M272">
        <v>502.41799999999898</v>
      </c>
      <c r="N272">
        <v>53.93</v>
      </c>
      <c r="O272">
        <v>377.51</v>
      </c>
      <c r="P272">
        <v>124.90799999999901</v>
      </c>
      <c r="Q272">
        <v>24.861370412684199</v>
      </c>
    </row>
    <row r="273" spans="1:17" x14ac:dyDescent="0.25">
      <c r="A273">
        <v>10272</v>
      </c>
      <c r="B273" s="1">
        <v>45929</v>
      </c>
      <c r="C273">
        <v>3506</v>
      </c>
      <c r="D273" t="s">
        <v>29</v>
      </c>
      <c r="E273" t="s">
        <v>24</v>
      </c>
      <c r="F273" t="s">
        <v>25</v>
      </c>
      <c r="G273" t="s">
        <v>27</v>
      </c>
      <c r="H273">
        <v>2</v>
      </c>
      <c r="I273">
        <v>149.38999999999999</v>
      </c>
      <c r="J273">
        <v>10</v>
      </c>
      <c r="K273">
        <v>298.77999999999997</v>
      </c>
      <c r="L273">
        <v>29.878</v>
      </c>
      <c r="M273">
        <v>268.90199999999999</v>
      </c>
      <c r="N273">
        <v>112.53</v>
      </c>
      <c r="O273">
        <v>225.06</v>
      </c>
      <c r="P273">
        <v>43.841999999999899</v>
      </c>
      <c r="Q273">
        <v>16.3040810406765</v>
      </c>
    </row>
    <row r="274" spans="1:17" x14ac:dyDescent="0.25">
      <c r="A274">
        <v>10273</v>
      </c>
      <c r="B274" s="1">
        <v>45930</v>
      </c>
      <c r="C274">
        <v>3539</v>
      </c>
      <c r="D274" t="s">
        <v>17</v>
      </c>
      <c r="E274" t="s">
        <v>18</v>
      </c>
      <c r="F274" t="s">
        <v>19</v>
      </c>
      <c r="G274" t="s">
        <v>28</v>
      </c>
      <c r="H274">
        <v>9</v>
      </c>
      <c r="I274">
        <v>234.18</v>
      </c>
      <c r="J274">
        <v>0</v>
      </c>
      <c r="K274">
        <v>2107.62</v>
      </c>
      <c r="L274">
        <v>0</v>
      </c>
      <c r="M274">
        <v>2107.62</v>
      </c>
      <c r="N274">
        <v>25.12</v>
      </c>
      <c r="O274">
        <v>226.08</v>
      </c>
      <c r="P274">
        <v>1881.54</v>
      </c>
      <c r="Q274">
        <v>89.273208642924203</v>
      </c>
    </row>
    <row r="275" spans="1:17" x14ac:dyDescent="0.25">
      <c r="A275">
        <v>10274</v>
      </c>
      <c r="B275" s="1">
        <v>45931</v>
      </c>
      <c r="C275">
        <v>3156</v>
      </c>
      <c r="D275" t="s">
        <v>29</v>
      </c>
      <c r="E275" t="s">
        <v>18</v>
      </c>
      <c r="F275" t="s">
        <v>19</v>
      </c>
      <c r="G275" t="s">
        <v>32</v>
      </c>
      <c r="H275">
        <v>2</v>
      </c>
      <c r="I275">
        <v>238.87</v>
      </c>
      <c r="J275">
        <v>5</v>
      </c>
      <c r="K275">
        <v>477.74</v>
      </c>
      <c r="L275">
        <v>23.887</v>
      </c>
      <c r="M275">
        <v>453.85300000000001</v>
      </c>
      <c r="N275">
        <v>51.4</v>
      </c>
      <c r="O275">
        <v>102.8</v>
      </c>
      <c r="P275">
        <v>351.053</v>
      </c>
      <c r="Q275">
        <v>77.349494219493906</v>
      </c>
    </row>
    <row r="276" spans="1:17" x14ac:dyDescent="0.25">
      <c r="A276">
        <v>10275</v>
      </c>
      <c r="B276" s="1">
        <v>45932</v>
      </c>
      <c r="C276">
        <v>3008</v>
      </c>
      <c r="D276" t="s">
        <v>23</v>
      </c>
      <c r="E276" t="s">
        <v>18</v>
      </c>
      <c r="F276" t="s">
        <v>33</v>
      </c>
      <c r="G276" t="s">
        <v>20</v>
      </c>
      <c r="H276">
        <v>4</v>
      </c>
      <c r="I276">
        <v>173.22</v>
      </c>
      <c r="J276">
        <v>0</v>
      </c>
      <c r="K276">
        <v>692.88</v>
      </c>
      <c r="L276">
        <v>0</v>
      </c>
      <c r="M276">
        <v>692.88</v>
      </c>
      <c r="N276">
        <v>84.87</v>
      </c>
      <c r="O276">
        <v>339.48</v>
      </c>
      <c r="P276">
        <v>353.4</v>
      </c>
      <c r="Q276">
        <v>51.004502944232698</v>
      </c>
    </row>
    <row r="277" spans="1:17" x14ac:dyDescent="0.25">
      <c r="A277">
        <v>10276</v>
      </c>
      <c r="B277" s="1">
        <v>45933</v>
      </c>
      <c r="C277">
        <v>3759</v>
      </c>
      <c r="D277" t="s">
        <v>17</v>
      </c>
      <c r="E277" t="s">
        <v>24</v>
      </c>
      <c r="F277" t="s">
        <v>33</v>
      </c>
      <c r="G277" t="s">
        <v>22</v>
      </c>
      <c r="H277">
        <v>2</v>
      </c>
      <c r="I277">
        <v>245.35</v>
      </c>
      <c r="J277">
        <v>10</v>
      </c>
      <c r="K277">
        <v>490.7</v>
      </c>
      <c r="L277">
        <v>49.07</v>
      </c>
      <c r="M277">
        <v>441.63</v>
      </c>
      <c r="N277">
        <v>55.22</v>
      </c>
      <c r="O277">
        <v>110.44</v>
      </c>
      <c r="P277">
        <v>331.19</v>
      </c>
      <c r="Q277">
        <v>74.992640898489597</v>
      </c>
    </row>
    <row r="278" spans="1:17" x14ac:dyDescent="0.25">
      <c r="A278">
        <v>10277</v>
      </c>
      <c r="B278" s="1">
        <v>45934</v>
      </c>
      <c r="C278">
        <v>3481</v>
      </c>
      <c r="D278" t="s">
        <v>23</v>
      </c>
      <c r="E278" t="s">
        <v>18</v>
      </c>
      <c r="F278" t="s">
        <v>25</v>
      </c>
      <c r="G278" t="s">
        <v>22</v>
      </c>
      <c r="H278">
        <v>5</v>
      </c>
      <c r="I278">
        <v>196.22</v>
      </c>
      <c r="J278">
        <v>10</v>
      </c>
      <c r="K278">
        <v>981.1</v>
      </c>
      <c r="L278">
        <v>98.11</v>
      </c>
      <c r="M278">
        <v>882.99</v>
      </c>
      <c r="N278">
        <v>91.7</v>
      </c>
      <c r="O278">
        <v>458.5</v>
      </c>
      <c r="P278">
        <v>424.49</v>
      </c>
      <c r="Q278">
        <v>48.0741571252222</v>
      </c>
    </row>
    <row r="279" spans="1:17" x14ac:dyDescent="0.25">
      <c r="A279">
        <v>10278</v>
      </c>
      <c r="B279" s="1">
        <v>45935</v>
      </c>
      <c r="C279">
        <v>3612</v>
      </c>
      <c r="D279" t="s">
        <v>17</v>
      </c>
      <c r="E279" t="s">
        <v>24</v>
      </c>
      <c r="F279" t="s">
        <v>33</v>
      </c>
      <c r="G279" t="s">
        <v>27</v>
      </c>
      <c r="H279">
        <v>8</v>
      </c>
      <c r="I279">
        <v>243.74</v>
      </c>
      <c r="J279">
        <v>20</v>
      </c>
      <c r="K279">
        <v>1949.92</v>
      </c>
      <c r="L279">
        <v>389.98399999999998</v>
      </c>
      <c r="M279">
        <v>1559.9359999999999</v>
      </c>
      <c r="N279">
        <v>92.22</v>
      </c>
      <c r="O279">
        <v>737.76</v>
      </c>
      <c r="P279">
        <v>822.17600000000004</v>
      </c>
      <c r="Q279">
        <v>52.705752030852501</v>
      </c>
    </row>
    <row r="280" spans="1:17" x14ac:dyDescent="0.25">
      <c r="A280">
        <v>10279</v>
      </c>
      <c r="B280" s="1">
        <v>45936</v>
      </c>
      <c r="C280">
        <v>3985</v>
      </c>
      <c r="D280" t="s">
        <v>23</v>
      </c>
      <c r="E280" t="s">
        <v>18</v>
      </c>
      <c r="F280" t="s">
        <v>33</v>
      </c>
      <c r="G280" t="s">
        <v>27</v>
      </c>
      <c r="H280">
        <v>4</v>
      </c>
      <c r="I280">
        <v>171.14</v>
      </c>
      <c r="J280">
        <v>15</v>
      </c>
      <c r="K280">
        <v>684.56</v>
      </c>
      <c r="L280">
        <v>102.683999999999</v>
      </c>
      <c r="M280">
        <v>581.87599999999998</v>
      </c>
      <c r="N280">
        <v>25.49</v>
      </c>
      <c r="O280">
        <v>101.96</v>
      </c>
      <c r="P280">
        <v>479.916</v>
      </c>
      <c r="Q280">
        <v>82.477366311722704</v>
      </c>
    </row>
    <row r="281" spans="1:17" x14ac:dyDescent="0.25">
      <c r="A281">
        <v>10280</v>
      </c>
      <c r="B281" s="1">
        <v>45937</v>
      </c>
      <c r="C281">
        <v>3428</v>
      </c>
      <c r="D281" t="s">
        <v>29</v>
      </c>
      <c r="E281" t="s">
        <v>24</v>
      </c>
      <c r="F281" t="s">
        <v>25</v>
      </c>
      <c r="G281" t="s">
        <v>27</v>
      </c>
      <c r="H281">
        <v>4</v>
      </c>
      <c r="I281">
        <v>166.76</v>
      </c>
      <c r="J281">
        <v>0</v>
      </c>
      <c r="K281">
        <v>667.04</v>
      </c>
      <c r="L281">
        <v>0</v>
      </c>
      <c r="M281">
        <v>667.04</v>
      </c>
      <c r="N281">
        <v>24.35</v>
      </c>
      <c r="O281">
        <v>97.4</v>
      </c>
      <c r="P281">
        <v>569.64</v>
      </c>
      <c r="Q281">
        <v>85.398177020868303</v>
      </c>
    </row>
    <row r="282" spans="1:17" x14ac:dyDescent="0.25">
      <c r="A282">
        <v>10281</v>
      </c>
      <c r="B282" s="1">
        <v>45938</v>
      </c>
      <c r="C282">
        <v>3766</v>
      </c>
      <c r="D282" t="s">
        <v>29</v>
      </c>
      <c r="E282" t="s">
        <v>24</v>
      </c>
      <c r="F282" t="s">
        <v>26</v>
      </c>
      <c r="G282" t="s">
        <v>32</v>
      </c>
      <c r="H282">
        <v>1</v>
      </c>
      <c r="I282">
        <v>23.87</v>
      </c>
      <c r="J282">
        <v>0</v>
      </c>
      <c r="K282">
        <v>23.87</v>
      </c>
      <c r="L282">
        <v>0</v>
      </c>
      <c r="M282">
        <v>23.87</v>
      </c>
      <c r="N282">
        <v>118.72</v>
      </c>
      <c r="O282">
        <v>118.72</v>
      </c>
      <c r="P282">
        <v>-94.85</v>
      </c>
      <c r="Q282">
        <v>-397.36070381231599</v>
      </c>
    </row>
    <row r="283" spans="1:17" x14ac:dyDescent="0.25">
      <c r="A283">
        <v>10282</v>
      </c>
      <c r="B283" s="1">
        <v>45939</v>
      </c>
      <c r="C283">
        <v>3947</v>
      </c>
      <c r="D283" t="s">
        <v>21</v>
      </c>
      <c r="E283" t="s">
        <v>18</v>
      </c>
      <c r="F283" t="s">
        <v>25</v>
      </c>
      <c r="G283" t="s">
        <v>31</v>
      </c>
      <c r="H283">
        <v>9</v>
      </c>
      <c r="I283">
        <v>127.52</v>
      </c>
      <c r="J283">
        <v>10</v>
      </c>
      <c r="K283">
        <v>1147.68</v>
      </c>
      <c r="L283">
        <v>114.768</v>
      </c>
      <c r="M283">
        <v>1032.912</v>
      </c>
      <c r="N283">
        <v>65.52</v>
      </c>
      <c r="O283">
        <v>589.67999999999995</v>
      </c>
      <c r="P283">
        <v>443.23200000000003</v>
      </c>
      <c r="Q283">
        <v>42.910915934755302</v>
      </c>
    </row>
    <row r="284" spans="1:17" x14ac:dyDescent="0.25">
      <c r="A284">
        <v>10283</v>
      </c>
      <c r="B284" s="1">
        <v>45940</v>
      </c>
      <c r="C284">
        <v>3822</v>
      </c>
      <c r="D284" t="s">
        <v>17</v>
      </c>
      <c r="E284" t="s">
        <v>24</v>
      </c>
      <c r="F284" t="s">
        <v>33</v>
      </c>
      <c r="G284" t="s">
        <v>27</v>
      </c>
      <c r="H284">
        <v>9</v>
      </c>
      <c r="I284">
        <v>89.34</v>
      </c>
      <c r="J284">
        <v>5</v>
      </c>
      <c r="K284">
        <v>804.06</v>
      </c>
      <c r="L284">
        <v>40.203000000000003</v>
      </c>
      <c r="M284">
        <v>763.85699999999997</v>
      </c>
      <c r="N284">
        <v>26.63</v>
      </c>
      <c r="O284">
        <v>239.67</v>
      </c>
      <c r="P284">
        <v>524.18700000000001</v>
      </c>
      <c r="Q284">
        <v>68.623708364261901</v>
      </c>
    </row>
    <row r="285" spans="1:17" x14ac:dyDescent="0.25">
      <c r="A285">
        <v>10284</v>
      </c>
      <c r="B285" s="1">
        <v>45941</v>
      </c>
      <c r="C285">
        <v>3298</v>
      </c>
      <c r="D285" t="s">
        <v>23</v>
      </c>
      <c r="E285" t="s">
        <v>18</v>
      </c>
      <c r="F285" t="s">
        <v>25</v>
      </c>
      <c r="G285" t="s">
        <v>32</v>
      </c>
      <c r="H285">
        <v>9</v>
      </c>
      <c r="I285">
        <v>20.84</v>
      </c>
      <c r="J285">
        <v>15</v>
      </c>
      <c r="K285">
        <v>187.56</v>
      </c>
      <c r="L285">
        <v>28.134</v>
      </c>
      <c r="M285">
        <v>159.42599999999999</v>
      </c>
      <c r="N285">
        <v>16.079999999999998</v>
      </c>
      <c r="O285">
        <v>144.719999999999</v>
      </c>
      <c r="P285">
        <v>14.706</v>
      </c>
      <c r="Q285">
        <v>9.22434232810207</v>
      </c>
    </row>
    <row r="286" spans="1:17" x14ac:dyDescent="0.25">
      <c r="A286">
        <v>10285</v>
      </c>
      <c r="B286" s="1">
        <v>45942</v>
      </c>
      <c r="C286">
        <v>3348</v>
      </c>
      <c r="D286" t="s">
        <v>21</v>
      </c>
      <c r="E286" t="s">
        <v>18</v>
      </c>
      <c r="F286" t="s">
        <v>19</v>
      </c>
      <c r="G286" t="s">
        <v>31</v>
      </c>
      <c r="H286">
        <v>6</v>
      </c>
      <c r="I286">
        <v>162.44999999999999</v>
      </c>
      <c r="J286">
        <v>10</v>
      </c>
      <c r="K286">
        <v>974.69999999999902</v>
      </c>
      <c r="L286">
        <v>97.47</v>
      </c>
      <c r="M286">
        <v>877.229999999999</v>
      </c>
      <c r="N286">
        <v>65.739999999999995</v>
      </c>
      <c r="O286">
        <v>394.43999999999897</v>
      </c>
      <c r="P286">
        <v>482.789999999999</v>
      </c>
      <c r="Q286">
        <v>55.035737491877804</v>
      </c>
    </row>
    <row r="287" spans="1:17" x14ac:dyDescent="0.25">
      <c r="A287">
        <v>10286</v>
      </c>
      <c r="B287" s="1">
        <v>45943</v>
      </c>
      <c r="C287">
        <v>3519</v>
      </c>
      <c r="D287" t="s">
        <v>23</v>
      </c>
      <c r="E287" t="s">
        <v>18</v>
      </c>
      <c r="F287" t="s">
        <v>33</v>
      </c>
      <c r="G287" t="s">
        <v>27</v>
      </c>
      <c r="H287">
        <v>7</v>
      </c>
      <c r="I287">
        <v>243.09</v>
      </c>
      <c r="J287">
        <v>0</v>
      </c>
      <c r="K287">
        <v>1701.63</v>
      </c>
      <c r="L287">
        <v>0</v>
      </c>
      <c r="M287">
        <v>1701.63</v>
      </c>
      <c r="N287">
        <v>127.11</v>
      </c>
      <c r="O287">
        <v>889.77</v>
      </c>
      <c r="P287">
        <v>811.86</v>
      </c>
      <c r="Q287">
        <v>47.710724423053101</v>
      </c>
    </row>
    <row r="288" spans="1:17" x14ac:dyDescent="0.25">
      <c r="A288">
        <v>10287</v>
      </c>
      <c r="B288" s="1">
        <v>45944</v>
      </c>
      <c r="C288">
        <v>3753</v>
      </c>
      <c r="D288" t="s">
        <v>21</v>
      </c>
      <c r="E288" t="s">
        <v>24</v>
      </c>
      <c r="F288" t="s">
        <v>26</v>
      </c>
      <c r="G288" t="s">
        <v>31</v>
      </c>
      <c r="H288">
        <v>7</v>
      </c>
      <c r="I288">
        <v>147.22999999999999</v>
      </c>
      <c r="J288">
        <v>0</v>
      </c>
      <c r="K288">
        <v>1030.6099999999999</v>
      </c>
      <c r="L288">
        <v>0</v>
      </c>
      <c r="M288">
        <v>1030.6099999999999</v>
      </c>
      <c r="N288">
        <v>34.74</v>
      </c>
      <c r="O288">
        <v>243.18</v>
      </c>
      <c r="P288">
        <v>787.42999999999904</v>
      </c>
      <c r="Q288">
        <v>76.404265435033594</v>
      </c>
    </row>
    <row r="289" spans="1:17" x14ac:dyDescent="0.25">
      <c r="A289">
        <v>10288</v>
      </c>
      <c r="B289" s="1">
        <v>45945</v>
      </c>
      <c r="C289">
        <v>3143</v>
      </c>
      <c r="D289" t="s">
        <v>21</v>
      </c>
      <c r="E289" t="s">
        <v>24</v>
      </c>
      <c r="F289" t="s">
        <v>25</v>
      </c>
      <c r="G289" t="s">
        <v>32</v>
      </c>
      <c r="H289">
        <v>2</v>
      </c>
      <c r="I289">
        <v>95.12</v>
      </c>
      <c r="J289">
        <v>10</v>
      </c>
      <c r="K289">
        <v>190.24</v>
      </c>
      <c r="L289">
        <v>19.024000000000001</v>
      </c>
      <c r="M289">
        <v>171.21600000000001</v>
      </c>
      <c r="N289">
        <v>149.28</v>
      </c>
      <c r="O289">
        <v>298.56</v>
      </c>
      <c r="P289">
        <v>-127.34399999999999</v>
      </c>
      <c r="Q289">
        <v>-74.376226520885893</v>
      </c>
    </row>
    <row r="290" spans="1:17" x14ac:dyDescent="0.25">
      <c r="A290">
        <v>10289</v>
      </c>
      <c r="B290" s="1">
        <v>45946</v>
      </c>
      <c r="C290">
        <v>3640</v>
      </c>
      <c r="D290" t="s">
        <v>17</v>
      </c>
      <c r="E290" t="s">
        <v>18</v>
      </c>
      <c r="F290" t="s">
        <v>19</v>
      </c>
      <c r="G290" t="s">
        <v>32</v>
      </c>
      <c r="H290">
        <v>2</v>
      </c>
      <c r="I290">
        <v>236.8</v>
      </c>
      <c r="J290">
        <v>0</v>
      </c>
      <c r="K290">
        <v>473.6</v>
      </c>
      <c r="L290">
        <v>0</v>
      </c>
      <c r="M290">
        <v>473.6</v>
      </c>
      <c r="N290">
        <v>8.0299999999999994</v>
      </c>
      <c r="O290">
        <v>16.059999999999999</v>
      </c>
      <c r="P290">
        <v>457.54</v>
      </c>
      <c r="Q290">
        <v>96.608952702702695</v>
      </c>
    </row>
    <row r="291" spans="1:17" x14ac:dyDescent="0.25">
      <c r="A291">
        <v>10290</v>
      </c>
      <c r="B291" s="1">
        <v>45947</v>
      </c>
      <c r="C291">
        <v>3210</v>
      </c>
      <c r="D291" t="s">
        <v>21</v>
      </c>
      <c r="E291" t="s">
        <v>24</v>
      </c>
      <c r="F291" t="s">
        <v>19</v>
      </c>
      <c r="G291" t="s">
        <v>32</v>
      </c>
      <c r="H291">
        <v>3</v>
      </c>
      <c r="I291">
        <v>173.62</v>
      </c>
      <c r="J291">
        <v>0</v>
      </c>
      <c r="K291">
        <v>520.86</v>
      </c>
      <c r="L291">
        <v>0</v>
      </c>
      <c r="M291">
        <v>520.86</v>
      </c>
      <c r="N291">
        <v>91.06</v>
      </c>
      <c r="O291">
        <v>273.18</v>
      </c>
      <c r="P291">
        <v>247.68</v>
      </c>
      <c r="Q291">
        <v>47.552125331182999</v>
      </c>
    </row>
    <row r="292" spans="1:17" x14ac:dyDescent="0.25">
      <c r="A292">
        <v>10291</v>
      </c>
      <c r="B292" s="1">
        <v>45948</v>
      </c>
      <c r="C292">
        <v>3231</v>
      </c>
      <c r="D292" t="s">
        <v>29</v>
      </c>
      <c r="E292" t="s">
        <v>18</v>
      </c>
      <c r="F292" t="s">
        <v>33</v>
      </c>
      <c r="G292" t="s">
        <v>32</v>
      </c>
      <c r="H292">
        <v>5</v>
      </c>
      <c r="I292">
        <v>47.62</v>
      </c>
      <c r="J292">
        <v>10</v>
      </c>
      <c r="K292">
        <v>238.1</v>
      </c>
      <c r="L292">
        <v>23.81</v>
      </c>
      <c r="M292">
        <v>214.29</v>
      </c>
      <c r="N292">
        <v>106.37</v>
      </c>
      <c r="O292">
        <v>531.85</v>
      </c>
      <c r="P292">
        <v>-317.56</v>
      </c>
      <c r="Q292">
        <v>-148.19170283260999</v>
      </c>
    </row>
    <row r="293" spans="1:17" x14ac:dyDescent="0.25">
      <c r="A293">
        <v>10292</v>
      </c>
      <c r="B293" s="1">
        <v>45949</v>
      </c>
      <c r="C293">
        <v>3688</v>
      </c>
      <c r="D293" t="s">
        <v>21</v>
      </c>
      <c r="E293" t="s">
        <v>24</v>
      </c>
      <c r="F293" t="s">
        <v>33</v>
      </c>
      <c r="G293" t="s">
        <v>22</v>
      </c>
      <c r="H293">
        <v>6</v>
      </c>
      <c r="I293">
        <v>155.61000000000001</v>
      </c>
      <c r="J293">
        <v>10</v>
      </c>
      <c r="K293">
        <v>933.66</v>
      </c>
      <c r="L293">
        <v>93.366</v>
      </c>
      <c r="M293">
        <v>840.29399999999998</v>
      </c>
      <c r="N293">
        <v>82.18</v>
      </c>
      <c r="O293">
        <v>493.08</v>
      </c>
      <c r="P293">
        <v>347.214</v>
      </c>
      <c r="Q293">
        <v>41.320537811765803</v>
      </c>
    </row>
    <row r="294" spans="1:17" x14ac:dyDescent="0.25">
      <c r="A294">
        <v>10293</v>
      </c>
      <c r="B294" s="1">
        <v>45950</v>
      </c>
      <c r="C294">
        <v>3448</v>
      </c>
      <c r="D294" t="s">
        <v>21</v>
      </c>
      <c r="E294" t="s">
        <v>18</v>
      </c>
      <c r="F294" t="s">
        <v>25</v>
      </c>
      <c r="G294" t="s">
        <v>22</v>
      </c>
      <c r="H294">
        <v>5</v>
      </c>
      <c r="I294">
        <v>215.61</v>
      </c>
      <c r="J294">
        <v>5</v>
      </c>
      <c r="K294">
        <v>1078.05</v>
      </c>
      <c r="L294">
        <v>53.902500000000003</v>
      </c>
      <c r="M294">
        <v>1024.1475</v>
      </c>
      <c r="N294">
        <v>42.58</v>
      </c>
      <c r="O294">
        <v>212.89999999999901</v>
      </c>
      <c r="P294">
        <v>811.24749999999995</v>
      </c>
      <c r="Q294">
        <v>79.2119787432962</v>
      </c>
    </row>
    <row r="295" spans="1:17" x14ac:dyDescent="0.25">
      <c r="A295">
        <v>10294</v>
      </c>
      <c r="B295" s="1">
        <v>45951</v>
      </c>
      <c r="C295">
        <v>3044</v>
      </c>
      <c r="D295" t="s">
        <v>29</v>
      </c>
      <c r="E295" t="s">
        <v>18</v>
      </c>
      <c r="F295" t="s">
        <v>33</v>
      </c>
      <c r="G295" t="s">
        <v>30</v>
      </c>
      <c r="H295">
        <v>9</v>
      </c>
      <c r="I295">
        <v>196.6</v>
      </c>
      <c r="J295">
        <v>5</v>
      </c>
      <c r="K295">
        <v>1769.3999999999901</v>
      </c>
      <c r="L295">
        <v>88.47</v>
      </c>
      <c r="M295">
        <v>1680.9299999999901</v>
      </c>
      <c r="N295">
        <v>50.88</v>
      </c>
      <c r="O295">
        <v>457.92</v>
      </c>
      <c r="P295">
        <v>1223.00999999999</v>
      </c>
      <c r="Q295">
        <v>72.757937570273498</v>
      </c>
    </row>
    <row r="296" spans="1:17" x14ac:dyDescent="0.25">
      <c r="A296">
        <v>10295</v>
      </c>
      <c r="B296" s="1">
        <v>45952</v>
      </c>
      <c r="C296">
        <v>3521</v>
      </c>
      <c r="D296" t="s">
        <v>21</v>
      </c>
      <c r="E296" t="s">
        <v>24</v>
      </c>
      <c r="F296" t="s">
        <v>19</v>
      </c>
      <c r="G296" t="s">
        <v>28</v>
      </c>
      <c r="H296">
        <v>7</v>
      </c>
      <c r="I296">
        <v>129.21</v>
      </c>
      <c r="J296">
        <v>5</v>
      </c>
      <c r="K296">
        <v>904.47</v>
      </c>
      <c r="L296">
        <v>45.223500000000001</v>
      </c>
      <c r="M296">
        <v>859.24649999999997</v>
      </c>
      <c r="N296">
        <v>85.31</v>
      </c>
      <c r="O296">
        <v>597.16999999999996</v>
      </c>
      <c r="P296">
        <v>262.07649999999899</v>
      </c>
      <c r="Q296">
        <v>30.500735237210701</v>
      </c>
    </row>
    <row r="297" spans="1:17" x14ac:dyDescent="0.25">
      <c r="A297">
        <v>10296</v>
      </c>
      <c r="B297" s="1">
        <v>45953</v>
      </c>
      <c r="C297">
        <v>3814</v>
      </c>
      <c r="D297" t="s">
        <v>21</v>
      </c>
      <c r="E297" t="s">
        <v>24</v>
      </c>
      <c r="F297" t="s">
        <v>26</v>
      </c>
      <c r="G297" t="s">
        <v>32</v>
      </c>
      <c r="H297">
        <v>2</v>
      </c>
      <c r="I297">
        <v>174.12</v>
      </c>
      <c r="J297">
        <v>10</v>
      </c>
      <c r="K297">
        <v>348.24</v>
      </c>
      <c r="L297">
        <v>34.823999999999998</v>
      </c>
      <c r="M297">
        <v>313.416</v>
      </c>
      <c r="N297">
        <v>134.83000000000001</v>
      </c>
      <c r="O297">
        <v>269.66000000000003</v>
      </c>
      <c r="P297">
        <v>43.755999999999901</v>
      </c>
      <c r="Q297">
        <v>13.960997524057399</v>
      </c>
    </row>
    <row r="298" spans="1:17" x14ac:dyDescent="0.25">
      <c r="A298">
        <v>10297</v>
      </c>
      <c r="B298" s="1">
        <v>45954</v>
      </c>
      <c r="C298">
        <v>3440</v>
      </c>
      <c r="D298" t="s">
        <v>17</v>
      </c>
      <c r="E298" t="s">
        <v>24</v>
      </c>
      <c r="F298" t="s">
        <v>19</v>
      </c>
      <c r="G298" t="s">
        <v>32</v>
      </c>
      <c r="H298">
        <v>4</v>
      </c>
      <c r="I298">
        <v>221.96</v>
      </c>
      <c r="J298">
        <v>0</v>
      </c>
      <c r="K298">
        <v>887.84</v>
      </c>
      <c r="L298">
        <v>0</v>
      </c>
      <c r="M298">
        <v>887.84</v>
      </c>
      <c r="N298">
        <v>65.86</v>
      </c>
      <c r="O298">
        <v>263.44</v>
      </c>
      <c r="P298">
        <v>624.4</v>
      </c>
      <c r="Q298">
        <v>70.327987024689094</v>
      </c>
    </row>
    <row r="299" spans="1:17" x14ac:dyDescent="0.25">
      <c r="A299">
        <v>10298</v>
      </c>
      <c r="B299" s="1">
        <v>45955</v>
      </c>
      <c r="C299">
        <v>3994</v>
      </c>
      <c r="D299" t="s">
        <v>23</v>
      </c>
      <c r="E299" t="s">
        <v>24</v>
      </c>
      <c r="F299" t="s">
        <v>25</v>
      </c>
      <c r="G299" t="s">
        <v>30</v>
      </c>
      <c r="H299">
        <v>2</v>
      </c>
      <c r="I299">
        <v>187.66</v>
      </c>
      <c r="J299">
        <v>0</v>
      </c>
      <c r="K299">
        <v>375.32</v>
      </c>
      <c r="L299">
        <v>0</v>
      </c>
      <c r="M299">
        <v>375.32</v>
      </c>
      <c r="N299">
        <v>55</v>
      </c>
      <c r="O299">
        <v>110</v>
      </c>
      <c r="P299">
        <v>265.32</v>
      </c>
      <c r="Q299">
        <v>70.691676436107798</v>
      </c>
    </row>
    <row r="300" spans="1:17" x14ac:dyDescent="0.25">
      <c r="A300">
        <v>10299</v>
      </c>
      <c r="B300" s="1">
        <v>45956</v>
      </c>
      <c r="C300">
        <v>3176</v>
      </c>
      <c r="D300" t="s">
        <v>21</v>
      </c>
      <c r="E300" t="s">
        <v>18</v>
      </c>
      <c r="F300" t="s">
        <v>19</v>
      </c>
      <c r="G300" t="s">
        <v>32</v>
      </c>
      <c r="H300">
        <v>9</v>
      </c>
      <c r="I300">
        <v>145.91</v>
      </c>
      <c r="J300">
        <v>15</v>
      </c>
      <c r="K300">
        <v>1313.19</v>
      </c>
      <c r="L300">
        <v>196.9785</v>
      </c>
      <c r="M300">
        <v>1116.2114999999999</v>
      </c>
      <c r="N300">
        <v>63.05</v>
      </c>
      <c r="O300">
        <v>567.44999999999902</v>
      </c>
      <c r="P300">
        <v>548.76149999999996</v>
      </c>
      <c r="Q300">
        <v>49.162860264385301</v>
      </c>
    </row>
    <row r="301" spans="1:17" x14ac:dyDescent="0.25">
      <c r="A301">
        <v>10300</v>
      </c>
      <c r="B301" s="1">
        <v>45957</v>
      </c>
      <c r="C301">
        <v>3639</v>
      </c>
      <c r="D301" t="s">
        <v>23</v>
      </c>
      <c r="E301" t="s">
        <v>18</v>
      </c>
      <c r="F301" t="s">
        <v>33</v>
      </c>
      <c r="G301" t="s">
        <v>28</v>
      </c>
      <c r="H301">
        <v>2</v>
      </c>
      <c r="I301">
        <v>244.62</v>
      </c>
      <c r="J301">
        <v>20</v>
      </c>
      <c r="K301">
        <v>489.24</v>
      </c>
      <c r="L301">
        <v>97.847999999999999</v>
      </c>
      <c r="M301">
        <v>391.392</v>
      </c>
      <c r="N301">
        <v>149.9</v>
      </c>
      <c r="O301">
        <v>299.8</v>
      </c>
      <c r="P301">
        <v>91.591999999999899</v>
      </c>
      <c r="Q301">
        <v>23.401602485487601</v>
      </c>
    </row>
    <row r="302" spans="1:17" x14ac:dyDescent="0.25">
      <c r="A302">
        <v>10301</v>
      </c>
      <c r="B302" s="1">
        <v>45958</v>
      </c>
      <c r="C302">
        <v>3427</v>
      </c>
      <c r="D302" t="s">
        <v>17</v>
      </c>
      <c r="E302" t="s">
        <v>24</v>
      </c>
      <c r="F302" t="s">
        <v>33</v>
      </c>
      <c r="G302" t="s">
        <v>32</v>
      </c>
      <c r="H302">
        <v>7</v>
      </c>
      <c r="I302">
        <v>24.62</v>
      </c>
      <c r="J302">
        <v>5</v>
      </c>
      <c r="K302">
        <v>172.34</v>
      </c>
      <c r="L302">
        <v>8.6170000000000009</v>
      </c>
      <c r="M302">
        <v>163.72300000000001</v>
      </c>
      <c r="N302">
        <v>43.64</v>
      </c>
      <c r="O302">
        <v>305.48</v>
      </c>
      <c r="P302">
        <v>-141.75700000000001</v>
      </c>
      <c r="Q302">
        <v>-86.583436658258094</v>
      </c>
    </row>
    <row r="303" spans="1:17" x14ac:dyDescent="0.25">
      <c r="A303">
        <v>10302</v>
      </c>
      <c r="B303" s="1">
        <v>45959</v>
      </c>
      <c r="C303">
        <v>3517</v>
      </c>
      <c r="D303" t="s">
        <v>17</v>
      </c>
      <c r="E303" t="s">
        <v>24</v>
      </c>
      <c r="F303" t="s">
        <v>25</v>
      </c>
      <c r="G303" t="s">
        <v>28</v>
      </c>
      <c r="H303">
        <v>3</v>
      </c>
      <c r="I303">
        <v>85.31</v>
      </c>
      <c r="J303">
        <v>10</v>
      </c>
      <c r="K303">
        <v>255.93</v>
      </c>
      <c r="L303">
        <v>25.593</v>
      </c>
      <c r="M303">
        <v>230.33699999999999</v>
      </c>
      <c r="N303">
        <v>29.85</v>
      </c>
      <c r="O303">
        <v>89.55</v>
      </c>
      <c r="P303">
        <v>140.78699999999901</v>
      </c>
      <c r="Q303">
        <v>61.1221818465986</v>
      </c>
    </row>
    <row r="304" spans="1:17" x14ac:dyDescent="0.25">
      <c r="A304">
        <v>10303</v>
      </c>
      <c r="B304" s="1">
        <v>45960</v>
      </c>
      <c r="C304">
        <v>3917</v>
      </c>
      <c r="D304" t="s">
        <v>29</v>
      </c>
      <c r="E304" t="s">
        <v>24</v>
      </c>
      <c r="F304" t="s">
        <v>26</v>
      </c>
      <c r="G304" t="s">
        <v>20</v>
      </c>
      <c r="H304">
        <v>1</v>
      </c>
      <c r="I304">
        <v>239.17</v>
      </c>
      <c r="J304">
        <v>15</v>
      </c>
      <c r="K304">
        <v>239.17</v>
      </c>
      <c r="L304">
        <v>35.875499999999903</v>
      </c>
      <c r="M304">
        <v>203.2945</v>
      </c>
      <c r="N304">
        <v>134.47</v>
      </c>
      <c r="O304">
        <v>134.47</v>
      </c>
      <c r="P304">
        <v>68.8245</v>
      </c>
      <c r="Q304">
        <v>33.854580423966198</v>
      </c>
    </row>
    <row r="305" spans="1:17" x14ac:dyDescent="0.25">
      <c r="A305">
        <v>10304</v>
      </c>
      <c r="B305" s="1">
        <v>45961</v>
      </c>
      <c r="C305">
        <v>3144</v>
      </c>
      <c r="D305" t="s">
        <v>21</v>
      </c>
      <c r="E305" t="s">
        <v>18</v>
      </c>
      <c r="F305" t="s">
        <v>25</v>
      </c>
      <c r="G305" t="s">
        <v>20</v>
      </c>
      <c r="H305">
        <v>5</v>
      </c>
      <c r="I305">
        <v>17.440000000000001</v>
      </c>
      <c r="J305">
        <v>20</v>
      </c>
      <c r="K305">
        <v>87.2</v>
      </c>
      <c r="L305">
        <v>17.440000000000001</v>
      </c>
      <c r="M305">
        <v>69.760000000000005</v>
      </c>
      <c r="N305">
        <v>23.19</v>
      </c>
      <c r="O305">
        <v>115.95</v>
      </c>
      <c r="P305">
        <v>-46.19</v>
      </c>
      <c r="Q305">
        <v>-66.212729357798096</v>
      </c>
    </row>
    <row r="306" spans="1:17" x14ac:dyDescent="0.25">
      <c r="A306">
        <v>10305</v>
      </c>
      <c r="B306" s="1">
        <v>45962</v>
      </c>
      <c r="C306">
        <v>3011</v>
      </c>
      <c r="D306" t="s">
        <v>17</v>
      </c>
      <c r="E306" t="s">
        <v>18</v>
      </c>
      <c r="F306" t="s">
        <v>33</v>
      </c>
      <c r="G306" t="s">
        <v>27</v>
      </c>
      <c r="H306">
        <v>2</v>
      </c>
      <c r="I306">
        <v>177.29</v>
      </c>
      <c r="J306">
        <v>0</v>
      </c>
      <c r="K306">
        <v>354.58</v>
      </c>
      <c r="L306">
        <v>0</v>
      </c>
      <c r="M306">
        <v>354.58</v>
      </c>
      <c r="N306">
        <v>126.72</v>
      </c>
      <c r="O306">
        <v>253.44</v>
      </c>
      <c r="P306">
        <v>101.13999999999901</v>
      </c>
      <c r="Q306">
        <v>28.523887416097899</v>
      </c>
    </row>
    <row r="307" spans="1:17" x14ac:dyDescent="0.25">
      <c r="A307">
        <v>10306</v>
      </c>
      <c r="B307" s="1">
        <v>45963</v>
      </c>
      <c r="C307">
        <v>3874</v>
      </c>
      <c r="D307" t="s">
        <v>23</v>
      </c>
      <c r="E307" t="s">
        <v>24</v>
      </c>
      <c r="F307" t="s">
        <v>25</v>
      </c>
      <c r="G307" t="s">
        <v>31</v>
      </c>
      <c r="H307">
        <v>3</v>
      </c>
      <c r="I307">
        <v>137.03</v>
      </c>
      <c r="J307">
        <v>5</v>
      </c>
      <c r="K307">
        <v>411.09</v>
      </c>
      <c r="L307">
        <v>20.554500000000001</v>
      </c>
      <c r="M307">
        <v>390.53550000000001</v>
      </c>
      <c r="N307">
        <v>95.66</v>
      </c>
      <c r="O307">
        <v>286.98</v>
      </c>
      <c r="P307">
        <v>103.55549999999999</v>
      </c>
      <c r="Q307">
        <v>26.516283410854999</v>
      </c>
    </row>
    <row r="308" spans="1:17" x14ac:dyDescent="0.25">
      <c r="A308">
        <v>10307</v>
      </c>
      <c r="B308" s="1">
        <v>45964</v>
      </c>
      <c r="C308">
        <v>3160</v>
      </c>
      <c r="D308" t="s">
        <v>21</v>
      </c>
      <c r="E308" t="s">
        <v>24</v>
      </c>
      <c r="F308" t="s">
        <v>26</v>
      </c>
      <c r="G308" t="s">
        <v>22</v>
      </c>
      <c r="H308">
        <v>1</v>
      </c>
      <c r="I308">
        <v>153.01</v>
      </c>
      <c r="J308">
        <v>10</v>
      </c>
      <c r="K308">
        <v>153.01</v>
      </c>
      <c r="L308">
        <v>15.301</v>
      </c>
      <c r="M308">
        <v>137.709</v>
      </c>
      <c r="N308">
        <v>143.9</v>
      </c>
      <c r="O308">
        <v>143.9</v>
      </c>
      <c r="P308">
        <v>-6.1909999999999998</v>
      </c>
      <c r="Q308">
        <v>-4.4957119723474799</v>
      </c>
    </row>
    <row r="309" spans="1:17" x14ac:dyDescent="0.25">
      <c r="A309">
        <v>10308</v>
      </c>
      <c r="B309" s="1">
        <v>45965</v>
      </c>
      <c r="C309">
        <v>3808</v>
      </c>
      <c r="D309" t="s">
        <v>17</v>
      </c>
      <c r="E309" t="s">
        <v>18</v>
      </c>
      <c r="F309" t="s">
        <v>19</v>
      </c>
      <c r="G309" t="s">
        <v>28</v>
      </c>
      <c r="H309">
        <v>4</v>
      </c>
      <c r="I309">
        <v>27.47</v>
      </c>
      <c r="J309">
        <v>0</v>
      </c>
      <c r="K309">
        <v>109.88</v>
      </c>
      <c r="L309">
        <v>0</v>
      </c>
      <c r="M309">
        <v>109.88</v>
      </c>
      <c r="N309">
        <v>51.08</v>
      </c>
      <c r="O309">
        <v>204.32</v>
      </c>
      <c r="P309">
        <v>-94.44</v>
      </c>
      <c r="Q309">
        <v>-85.948307244266402</v>
      </c>
    </row>
    <row r="310" spans="1:17" x14ac:dyDescent="0.25">
      <c r="A310">
        <v>10309</v>
      </c>
      <c r="B310" s="1">
        <v>45966</v>
      </c>
      <c r="C310">
        <v>3548</v>
      </c>
      <c r="D310" t="s">
        <v>23</v>
      </c>
      <c r="E310" t="s">
        <v>18</v>
      </c>
      <c r="F310" t="s">
        <v>26</v>
      </c>
      <c r="G310" t="s">
        <v>31</v>
      </c>
      <c r="H310">
        <v>4</v>
      </c>
      <c r="I310">
        <v>11.93</v>
      </c>
      <c r="J310">
        <v>15</v>
      </c>
      <c r="K310">
        <v>47.72</v>
      </c>
      <c r="L310">
        <v>7.1579999999999897</v>
      </c>
      <c r="M310">
        <v>40.561999999999998</v>
      </c>
      <c r="N310">
        <v>129.07</v>
      </c>
      <c r="O310">
        <v>516.28</v>
      </c>
      <c r="P310">
        <v>-475.71799999999899</v>
      </c>
      <c r="Q310">
        <v>-1172.8169222424899</v>
      </c>
    </row>
    <row r="311" spans="1:17" x14ac:dyDescent="0.25">
      <c r="A311">
        <v>10310</v>
      </c>
      <c r="B311" s="1">
        <v>45967</v>
      </c>
      <c r="C311">
        <v>3069</v>
      </c>
      <c r="D311" t="s">
        <v>17</v>
      </c>
      <c r="E311" t="s">
        <v>18</v>
      </c>
      <c r="F311" t="s">
        <v>19</v>
      </c>
      <c r="G311" t="s">
        <v>28</v>
      </c>
      <c r="H311">
        <v>8</v>
      </c>
      <c r="I311">
        <v>87.1</v>
      </c>
      <c r="J311">
        <v>0</v>
      </c>
      <c r="K311">
        <v>696.8</v>
      </c>
      <c r="L311">
        <v>0</v>
      </c>
      <c r="M311">
        <v>696.8</v>
      </c>
      <c r="N311">
        <v>17.690000000000001</v>
      </c>
      <c r="O311">
        <v>141.52000000000001</v>
      </c>
      <c r="P311">
        <v>555.28</v>
      </c>
      <c r="Q311">
        <v>79.690011481056203</v>
      </c>
    </row>
    <row r="312" spans="1:17" x14ac:dyDescent="0.25">
      <c r="A312">
        <v>10311</v>
      </c>
      <c r="B312" s="1">
        <v>45968</v>
      </c>
      <c r="C312">
        <v>3924</v>
      </c>
      <c r="D312" t="s">
        <v>23</v>
      </c>
      <c r="E312" t="s">
        <v>24</v>
      </c>
      <c r="F312" t="s">
        <v>26</v>
      </c>
      <c r="G312" t="s">
        <v>22</v>
      </c>
      <c r="H312">
        <v>1</v>
      </c>
      <c r="I312">
        <v>106.01</v>
      </c>
      <c r="J312">
        <v>10</v>
      </c>
      <c r="K312">
        <v>106.01</v>
      </c>
      <c r="L312">
        <v>10.601000000000001</v>
      </c>
      <c r="M312">
        <v>95.409000000000006</v>
      </c>
      <c r="N312">
        <v>118.44</v>
      </c>
      <c r="O312">
        <v>118.44</v>
      </c>
      <c r="P312">
        <v>-23.030999999999899</v>
      </c>
      <c r="Q312">
        <v>-24.139232147910501</v>
      </c>
    </row>
    <row r="313" spans="1:17" x14ac:dyDescent="0.25">
      <c r="A313">
        <v>10312</v>
      </c>
      <c r="B313" s="1">
        <v>45969</v>
      </c>
      <c r="C313">
        <v>3363</v>
      </c>
      <c r="D313" t="s">
        <v>21</v>
      </c>
      <c r="E313" t="s">
        <v>18</v>
      </c>
      <c r="F313" t="s">
        <v>19</v>
      </c>
      <c r="G313" t="s">
        <v>20</v>
      </c>
      <c r="H313">
        <v>6</v>
      </c>
      <c r="I313">
        <v>161.37</v>
      </c>
      <c r="J313">
        <v>15</v>
      </c>
      <c r="K313">
        <v>968.22</v>
      </c>
      <c r="L313">
        <v>145.233</v>
      </c>
      <c r="M313">
        <v>822.98699999999997</v>
      </c>
      <c r="N313">
        <v>52.44</v>
      </c>
      <c r="O313">
        <v>314.64</v>
      </c>
      <c r="P313">
        <v>508.34699999999998</v>
      </c>
      <c r="Q313">
        <v>61.768533403322202</v>
      </c>
    </row>
    <row r="314" spans="1:17" x14ac:dyDescent="0.25">
      <c r="A314">
        <v>10313</v>
      </c>
      <c r="B314" s="1">
        <v>45970</v>
      </c>
      <c r="C314">
        <v>3605</v>
      </c>
      <c r="D314" t="s">
        <v>17</v>
      </c>
      <c r="E314" t="s">
        <v>24</v>
      </c>
      <c r="F314" t="s">
        <v>33</v>
      </c>
      <c r="G314" t="s">
        <v>30</v>
      </c>
      <c r="H314">
        <v>9</v>
      </c>
      <c r="I314">
        <v>140.32</v>
      </c>
      <c r="J314">
        <v>20</v>
      </c>
      <c r="K314">
        <v>1262.8799999999901</v>
      </c>
      <c r="L314">
        <v>252.57599999999999</v>
      </c>
      <c r="M314">
        <v>1010.30399999999</v>
      </c>
      <c r="N314">
        <v>71.78</v>
      </c>
      <c r="O314">
        <v>646.02</v>
      </c>
      <c r="P314">
        <v>364.28399999999903</v>
      </c>
      <c r="Q314">
        <v>36.056870011402502</v>
      </c>
    </row>
    <row r="315" spans="1:17" x14ac:dyDescent="0.25">
      <c r="A315">
        <v>10314</v>
      </c>
      <c r="B315" s="1">
        <v>45971</v>
      </c>
      <c r="C315">
        <v>3049</v>
      </c>
      <c r="D315" t="s">
        <v>21</v>
      </c>
      <c r="E315" t="s">
        <v>24</v>
      </c>
      <c r="F315" t="s">
        <v>25</v>
      </c>
      <c r="G315" t="s">
        <v>20</v>
      </c>
      <c r="H315">
        <v>1</v>
      </c>
      <c r="I315">
        <v>24.39</v>
      </c>
      <c r="J315">
        <v>0</v>
      </c>
      <c r="K315">
        <v>24.39</v>
      </c>
      <c r="L315">
        <v>0</v>
      </c>
      <c r="M315">
        <v>24.39</v>
      </c>
      <c r="N315">
        <v>120.57</v>
      </c>
      <c r="O315">
        <v>120.57</v>
      </c>
      <c r="P315">
        <v>-96.179999999999893</v>
      </c>
      <c r="Q315">
        <v>-394.34194341943402</v>
      </c>
    </row>
    <row r="316" spans="1:17" x14ac:dyDescent="0.25">
      <c r="A316">
        <v>10315</v>
      </c>
      <c r="B316" s="1">
        <v>45972</v>
      </c>
      <c r="C316">
        <v>3829</v>
      </c>
      <c r="D316" t="s">
        <v>23</v>
      </c>
      <c r="E316" t="s">
        <v>18</v>
      </c>
      <c r="F316" t="s">
        <v>25</v>
      </c>
      <c r="G316" t="s">
        <v>31</v>
      </c>
      <c r="H316">
        <v>5</v>
      </c>
      <c r="I316">
        <v>22.86</v>
      </c>
      <c r="J316">
        <v>15</v>
      </c>
      <c r="K316">
        <v>114.3</v>
      </c>
      <c r="L316">
        <v>17.145</v>
      </c>
      <c r="M316">
        <v>97.155000000000001</v>
      </c>
      <c r="N316">
        <v>97.06</v>
      </c>
      <c r="O316">
        <v>485.3</v>
      </c>
      <c r="P316">
        <v>-388.14499999999998</v>
      </c>
      <c r="Q316">
        <v>-399.51109052544899</v>
      </c>
    </row>
    <row r="317" spans="1:17" x14ac:dyDescent="0.25">
      <c r="A317">
        <v>10316</v>
      </c>
      <c r="B317" s="1">
        <v>45973</v>
      </c>
      <c r="C317">
        <v>3366</v>
      </c>
      <c r="D317" t="s">
        <v>23</v>
      </c>
      <c r="E317" t="s">
        <v>24</v>
      </c>
      <c r="F317" t="s">
        <v>19</v>
      </c>
      <c r="G317" t="s">
        <v>28</v>
      </c>
      <c r="H317">
        <v>2</v>
      </c>
      <c r="I317">
        <v>170.03</v>
      </c>
      <c r="J317">
        <v>5</v>
      </c>
      <c r="K317">
        <v>340.06</v>
      </c>
      <c r="L317">
        <v>17.003</v>
      </c>
      <c r="M317">
        <v>323.05700000000002</v>
      </c>
      <c r="N317">
        <v>71.45</v>
      </c>
      <c r="O317">
        <v>142.9</v>
      </c>
      <c r="P317">
        <v>180.15700000000001</v>
      </c>
      <c r="Q317">
        <v>55.766319875439898</v>
      </c>
    </row>
    <row r="318" spans="1:17" x14ac:dyDescent="0.25">
      <c r="A318">
        <v>10317</v>
      </c>
      <c r="B318" s="1">
        <v>45974</v>
      </c>
      <c r="C318">
        <v>3490</v>
      </c>
      <c r="D318" t="s">
        <v>23</v>
      </c>
      <c r="E318" t="s">
        <v>18</v>
      </c>
      <c r="F318" t="s">
        <v>33</v>
      </c>
      <c r="G318" t="s">
        <v>31</v>
      </c>
      <c r="H318">
        <v>8</v>
      </c>
      <c r="I318">
        <v>212.47</v>
      </c>
      <c r="J318">
        <v>0</v>
      </c>
      <c r="K318">
        <v>1699.76</v>
      </c>
      <c r="L318">
        <v>0</v>
      </c>
      <c r="M318">
        <v>1699.76</v>
      </c>
      <c r="N318">
        <v>47.43</v>
      </c>
      <c r="O318">
        <v>379.44</v>
      </c>
      <c r="P318">
        <v>1320.32</v>
      </c>
      <c r="Q318">
        <v>77.676848496258202</v>
      </c>
    </row>
    <row r="319" spans="1:17" x14ac:dyDescent="0.25">
      <c r="A319">
        <v>10318</v>
      </c>
      <c r="B319" s="1">
        <v>45975</v>
      </c>
      <c r="C319">
        <v>3436</v>
      </c>
      <c r="D319" t="s">
        <v>17</v>
      </c>
      <c r="E319" t="s">
        <v>24</v>
      </c>
      <c r="F319" t="s">
        <v>25</v>
      </c>
      <c r="G319" t="s">
        <v>30</v>
      </c>
      <c r="H319">
        <v>4</v>
      </c>
      <c r="I319">
        <v>126.7</v>
      </c>
      <c r="J319">
        <v>20</v>
      </c>
      <c r="K319">
        <v>506.8</v>
      </c>
      <c r="L319">
        <v>101.36</v>
      </c>
      <c r="M319">
        <v>405.44</v>
      </c>
      <c r="N319">
        <v>114.54</v>
      </c>
      <c r="O319">
        <v>458.16</v>
      </c>
      <c r="P319">
        <v>-52.72</v>
      </c>
      <c r="Q319">
        <v>-13.0031570639305</v>
      </c>
    </row>
    <row r="320" spans="1:17" x14ac:dyDescent="0.25">
      <c r="A320">
        <v>10319</v>
      </c>
      <c r="B320" s="1">
        <v>45976</v>
      </c>
      <c r="C320">
        <v>3735</v>
      </c>
      <c r="D320" t="s">
        <v>29</v>
      </c>
      <c r="E320" t="s">
        <v>24</v>
      </c>
      <c r="F320" t="s">
        <v>26</v>
      </c>
      <c r="G320" t="s">
        <v>31</v>
      </c>
      <c r="H320">
        <v>7</v>
      </c>
      <c r="I320">
        <v>66.900000000000006</v>
      </c>
      <c r="J320">
        <v>15</v>
      </c>
      <c r="K320">
        <v>468.3</v>
      </c>
      <c r="L320">
        <v>70.245000000000005</v>
      </c>
      <c r="M320">
        <v>398.05500000000001</v>
      </c>
      <c r="N320">
        <v>72.540000000000006</v>
      </c>
      <c r="O320">
        <v>507.78</v>
      </c>
      <c r="P320">
        <v>-109.724999999999</v>
      </c>
      <c r="Q320">
        <v>-27.565286204167698</v>
      </c>
    </row>
    <row r="321" spans="1:17" x14ac:dyDescent="0.25">
      <c r="A321">
        <v>10320</v>
      </c>
      <c r="B321" s="1">
        <v>45977</v>
      </c>
      <c r="C321">
        <v>3647</v>
      </c>
      <c r="D321" t="s">
        <v>23</v>
      </c>
      <c r="E321" t="s">
        <v>18</v>
      </c>
      <c r="F321" t="s">
        <v>26</v>
      </c>
      <c r="G321" t="s">
        <v>27</v>
      </c>
      <c r="H321">
        <v>4</v>
      </c>
      <c r="I321">
        <v>105.58</v>
      </c>
      <c r="J321">
        <v>20</v>
      </c>
      <c r="K321">
        <v>422.32</v>
      </c>
      <c r="L321">
        <v>84.463999999999999</v>
      </c>
      <c r="M321">
        <v>337.85599999999999</v>
      </c>
      <c r="N321">
        <v>40.47</v>
      </c>
      <c r="O321">
        <v>161.88</v>
      </c>
      <c r="P321">
        <v>175.976</v>
      </c>
      <c r="Q321">
        <v>52.086095851487002</v>
      </c>
    </row>
    <row r="322" spans="1:17" x14ac:dyDescent="0.25">
      <c r="A322">
        <v>10321</v>
      </c>
      <c r="B322" s="1">
        <v>45978</v>
      </c>
      <c r="C322">
        <v>3092</v>
      </c>
      <c r="D322" t="s">
        <v>17</v>
      </c>
      <c r="E322" t="s">
        <v>18</v>
      </c>
      <c r="F322" t="s">
        <v>26</v>
      </c>
      <c r="G322" t="s">
        <v>28</v>
      </c>
      <c r="H322">
        <v>9</v>
      </c>
      <c r="I322">
        <v>23.88</v>
      </c>
      <c r="J322">
        <v>15</v>
      </c>
      <c r="K322">
        <v>214.92</v>
      </c>
      <c r="L322">
        <v>32.238</v>
      </c>
      <c r="M322">
        <v>182.68199999999999</v>
      </c>
      <c r="N322">
        <v>61.85</v>
      </c>
      <c r="O322">
        <v>556.65</v>
      </c>
      <c r="P322">
        <v>-373.96799999999899</v>
      </c>
      <c r="Q322">
        <v>-204.709823627943</v>
      </c>
    </row>
    <row r="323" spans="1:17" x14ac:dyDescent="0.25">
      <c r="A323">
        <v>10322</v>
      </c>
      <c r="B323" s="1">
        <v>45979</v>
      </c>
      <c r="C323">
        <v>3495</v>
      </c>
      <c r="D323" t="s">
        <v>23</v>
      </c>
      <c r="E323" t="s">
        <v>18</v>
      </c>
      <c r="F323" t="s">
        <v>26</v>
      </c>
      <c r="G323" t="s">
        <v>31</v>
      </c>
      <c r="H323">
        <v>1</v>
      </c>
      <c r="I323">
        <v>182.56</v>
      </c>
      <c r="J323">
        <v>5</v>
      </c>
      <c r="K323">
        <v>182.56</v>
      </c>
      <c r="L323">
        <v>9.1280000000000001</v>
      </c>
      <c r="M323">
        <v>173.43199999999999</v>
      </c>
      <c r="N323">
        <v>120.41</v>
      </c>
      <c r="O323">
        <v>120.41</v>
      </c>
      <c r="P323">
        <v>53.021999999999998</v>
      </c>
      <c r="Q323">
        <v>30.572212740440001</v>
      </c>
    </row>
    <row r="324" spans="1:17" x14ac:dyDescent="0.25">
      <c r="A324">
        <v>10323</v>
      </c>
      <c r="B324" s="1">
        <v>45980</v>
      </c>
      <c r="C324">
        <v>3826</v>
      </c>
      <c r="D324" t="s">
        <v>17</v>
      </c>
      <c r="E324" t="s">
        <v>24</v>
      </c>
      <c r="F324" t="s">
        <v>19</v>
      </c>
      <c r="G324" t="s">
        <v>32</v>
      </c>
      <c r="H324">
        <v>5</v>
      </c>
      <c r="I324">
        <v>63.93</v>
      </c>
      <c r="J324">
        <v>20</v>
      </c>
      <c r="K324">
        <v>319.64999999999998</v>
      </c>
      <c r="L324">
        <v>63.93</v>
      </c>
      <c r="M324">
        <v>255.719999999999</v>
      </c>
      <c r="N324">
        <v>13.5</v>
      </c>
      <c r="O324">
        <v>67.5</v>
      </c>
      <c r="P324">
        <v>188.219999999999</v>
      </c>
      <c r="Q324">
        <v>73.603941811356094</v>
      </c>
    </row>
    <row r="325" spans="1:17" x14ac:dyDescent="0.25">
      <c r="A325">
        <v>10324</v>
      </c>
      <c r="B325" s="1">
        <v>45981</v>
      </c>
      <c r="C325">
        <v>3690</v>
      </c>
      <c r="D325" t="s">
        <v>29</v>
      </c>
      <c r="E325" t="s">
        <v>18</v>
      </c>
      <c r="F325" t="s">
        <v>33</v>
      </c>
      <c r="G325" t="s">
        <v>31</v>
      </c>
      <c r="H325">
        <v>6</v>
      </c>
      <c r="I325">
        <v>124.01</v>
      </c>
      <c r="J325">
        <v>10</v>
      </c>
      <c r="K325">
        <v>744.06</v>
      </c>
      <c r="L325">
        <v>74.406000000000006</v>
      </c>
      <c r="M325">
        <v>669.654</v>
      </c>
      <c r="N325">
        <v>51.72</v>
      </c>
      <c r="O325">
        <v>310.32</v>
      </c>
      <c r="P325">
        <v>359.334</v>
      </c>
      <c r="Q325">
        <v>53.659651103405601</v>
      </c>
    </row>
    <row r="326" spans="1:17" x14ac:dyDescent="0.25">
      <c r="A326">
        <v>10325</v>
      </c>
      <c r="B326" s="1">
        <v>45982</v>
      </c>
      <c r="C326">
        <v>3688</v>
      </c>
      <c r="D326" t="s">
        <v>17</v>
      </c>
      <c r="E326" t="s">
        <v>24</v>
      </c>
      <c r="F326" t="s">
        <v>19</v>
      </c>
      <c r="G326" t="s">
        <v>20</v>
      </c>
      <c r="H326">
        <v>5</v>
      </c>
      <c r="I326">
        <v>79.55</v>
      </c>
      <c r="J326">
        <v>10</v>
      </c>
      <c r="K326">
        <v>397.75</v>
      </c>
      <c r="L326">
        <v>39.774999999999999</v>
      </c>
      <c r="M326">
        <v>357.97500000000002</v>
      </c>
      <c r="N326">
        <v>110.47</v>
      </c>
      <c r="O326">
        <v>552.35</v>
      </c>
      <c r="P326">
        <v>-194.375</v>
      </c>
      <c r="Q326">
        <v>-54.298484531042597</v>
      </c>
    </row>
    <row r="327" spans="1:17" x14ac:dyDescent="0.25">
      <c r="A327">
        <v>10326</v>
      </c>
      <c r="B327" s="1">
        <v>45983</v>
      </c>
      <c r="C327">
        <v>3846</v>
      </c>
      <c r="D327" t="s">
        <v>23</v>
      </c>
      <c r="E327" t="s">
        <v>24</v>
      </c>
      <c r="F327" t="s">
        <v>19</v>
      </c>
      <c r="G327" t="s">
        <v>28</v>
      </c>
      <c r="H327">
        <v>8</v>
      </c>
      <c r="I327">
        <v>98.65</v>
      </c>
      <c r="J327">
        <v>20</v>
      </c>
      <c r="K327">
        <v>789.2</v>
      </c>
      <c r="L327">
        <v>157.84</v>
      </c>
      <c r="M327">
        <v>631.36</v>
      </c>
      <c r="N327">
        <v>93.84</v>
      </c>
      <c r="O327">
        <v>750.72</v>
      </c>
      <c r="P327">
        <v>-119.36</v>
      </c>
      <c r="Q327">
        <v>-18.905220476431801</v>
      </c>
    </row>
    <row r="328" spans="1:17" x14ac:dyDescent="0.25">
      <c r="A328">
        <v>10327</v>
      </c>
      <c r="B328" s="1">
        <v>45984</v>
      </c>
      <c r="C328">
        <v>3559</v>
      </c>
      <c r="D328" t="s">
        <v>29</v>
      </c>
      <c r="E328" t="s">
        <v>18</v>
      </c>
      <c r="F328" t="s">
        <v>33</v>
      </c>
      <c r="G328" t="s">
        <v>31</v>
      </c>
      <c r="H328">
        <v>3</v>
      </c>
      <c r="I328">
        <v>132.06</v>
      </c>
      <c r="J328">
        <v>5</v>
      </c>
      <c r="K328">
        <v>396.18</v>
      </c>
      <c r="L328">
        <v>19.809000000000001</v>
      </c>
      <c r="M328">
        <v>376.37099999999998</v>
      </c>
      <c r="N328">
        <v>68.72</v>
      </c>
      <c r="O328">
        <v>206.16</v>
      </c>
      <c r="P328">
        <v>170.21099999999899</v>
      </c>
      <c r="Q328">
        <v>45.224260105055897</v>
      </c>
    </row>
    <row r="329" spans="1:17" x14ac:dyDescent="0.25">
      <c r="A329">
        <v>10328</v>
      </c>
      <c r="B329" s="1">
        <v>45985</v>
      </c>
      <c r="C329">
        <v>3638</v>
      </c>
      <c r="D329" t="s">
        <v>21</v>
      </c>
      <c r="E329" t="s">
        <v>18</v>
      </c>
      <c r="F329" t="s">
        <v>25</v>
      </c>
      <c r="G329" t="s">
        <v>30</v>
      </c>
      <c r="H329">
        <v>1</v>
      </c>
      <c r="I329">
        <v>55.67</v>
      </c>
      <c r="J329">
        <v>10</v>
      </c>
      <c r="K329">
        <v>55.67</v>
      </c>
      <c r="L329">
        <v>5.5670000000000002</v>
      </c>
      <c r="M329">
        <v>50.103000000000002</v>
      </c>
      <c r="N329">
        <v>27.58</v>
      </c>
      <c r="O329">
        <v>27.58</v>
      </c>
      <c r="P329">
        <v>22.523</v>
      </c>
      <c r="Q329">
        <v>44.953396004231202</v>
      </c>
    </row>
    <row r="330" spans="1:17" x14ac:dyDescent="0.25">
      <c r="A330">
        <v>10329</v>
      </c>
      <c r="B330" s="1">
        <v>45986</v>
      </c>
      <c r="C330">
        <v>3958</v>
      </c>
      <c r="D330" t="s">
        <v>21</v>
      </c>
      <c r="E330" t="s">
        <v>18</v>
      </c>
      <c r="F330" t="s">
        <v>26</v>
      </c>
      <c r="G330" t="s">
        <v>30</v>
      </c>
      <c r="H330">
        <v>2</v>
      </c>
      <c r="I330">
        <v>184.53</v>
      </c>
      <c r="J330">
        <v>10</v>
      </c>
      <c r="K330">
        <v>369.06</v>
      </c>
      <c r="L330">
        <v>36.905999999999999</v>
      </c>
      <c r="M330">
        <v>332.154</v>
      </c>
      <c r="N330">
        <v>11.9</v>
      </c>
      <c r="O330">
        <v>23.8</v>
      </c>
      <c r="P330">
        <v>308.35399999999998</v>
      </c>
      <c r="Q330">
        <v>92.834648988119895</v>
      </c>
    </row>
    <row r="331" spans="1:17" x14ac:dyDescent="0.25">
      <c r="A331">
        <v>10330</v>
      </c>
      <c r="B331" s="1">
        <v>45987</v>
      </c>
      <c r="C331">
        <v>3461</v>
      </c>
      <c r="D331" t="s">
        <v>23</v>
      </c>
      <c r="E331" t="s">
        <v>24</v>
      </c>
      <c r="F331" t="s">
        <v>33</v>
      </c>
      <c r="G331" t="s">
        <v>27</v>
      </c>
      <c r="H331">
        <v>6</v>
      </c>
      <c r="I331">
        <v>35.770000000000003</v>
      </c>
      <c r="J331">
        <v>0</v>
      </c>
      <c r="K331">
        <v>214.62</v>
      </c>
      <c r="L331">
        <v>0</v>
      </c>
      <c r="M331">
        <v>214.62</v>
      </c>
      <c r="N331">
        <v>63.16</v>
      </c>
      <c r="O331">
        <v>378.96</v>
      </c>
      <c r="P331">
        <v>-164.33999999999901</v>
      </c>
      <c r="Q331">
        <v>-76.572546826949903</v>
      </c>
    </row>
    <row r="332" spans="1:17" x14ac:dyDescent="0.25">
      <c r="A332">
        <v>10331</v>
      </c>
      <c r="B332" s="1">
        <v>45988</v>
      </c>
      <c r="C332">
        <v>3211</v>
      </c>
      <c r="D332" t="s">
        <v>29</v>
      </c>
      <c r="E332" t="s">
        <v>18</v>
      </c>
      <c r="F332" t="s">
        <v>33</v>
      </c>
      <c r="G332" t="s">
        <v>31</v>
      </c>
      <c r="H332">
        <v>8</v>
      </c>
      <c r="I332">
        <v>191.73</v>
      </c>
      <c r="J332">
        <v>0</v>
      </c>
      <c r="K332">
        <v>1533.84</v>
      </c>
      <c r="L332">
        <v>0</v>
      </c>
      <c r="M332">
        <v>1533.84</v>
      </c>
      <c r="N332">
        <v>104.8</v>
      </c>
      <c r="O332">
        <v>838.4</v>
      </c>
      <c r="P332">
        <v>695.43999999999903</v>
      </c>
      <c r="Q332">
        <v>45.339800761487503</v>
      </c>
    </row>
    <row r="333" spans="1:17" x14ac:dyDescent="0.25">
      <c r="A333">
        <v>10332</v>
      </c>
      <c r="B333" s="1">
        <v>45989</v>
      </c>
      <c r="C333">
        <v>3105</v>
      </c>
      <c r="D333" t="s">
        <v>29</v>
      </c>
      <c r="E333" t="s">
        <v>18</v>
      </c>
      <c r="F333" t="s">
        <v>26</v>
      </c>
      <c r="G333" t="s">
        <v>32</v>
      </c>
      <c r="H333">
        <v>7</v>
      </c>
      <c r="I333">
        <v>21.08</v>
      </c>
      <c r="J333">
        <v>15</v>
      </c>
      <c r="K333">
        <v>147.56</v>
      </c>
      <c r="L333">
        <v>22.134</v>
      </c>
      <c r="M333">
        <v>125.426</v>
      </c>
      <c r="N333">
        <v>43.84</v>
      </c>
      <c r="O333">
        <v>306.88</v>
      </c>
      <c r="P333">
        <v>-181.45400000000001</v>
      </c>
      <c r="Q333">
        <v>-144.67016408081199</v>
      </c>
    </row>
    <row r="334" spans="1:17" x14ac:dyDescent="0.25">
      <c r="A334">
        <v>10333</v>
      </c>
      <c r="B334" s="1">
        <v>45990</v>
      </c>
      <c r="C334">
        <v>3077</v>
      </c>
      <c r="D334" t="s">
        <v>29</v>
      </c>
      <c r="E334" t="s">
        <v>24</v>
      </c>
      <c r="F334" t="s">
        <v>26</v>
      </c>
      <c r="G334" t="s">
        <v>20</v>
      </c>
      <c r="H334">
        <v>1</v>
      </c>
      <c r="I334">
        <v>126.12</v>
      </c>
      <c r="J334">
        <v>15</v>
      </c>
      <c r="K334">
        <v>126.12</v>
      </c>
      <c r="L334">
        <v>18.917999999999999</v>
      </c>
      <c r="M334">
        <v>107.202</v>
      </c>
      <c r="N334">
        <v>135.80000000000001</v>
      </c>
      <c r="O334">
        <v>135.80000000000001</v>
      </c>
      <c r="P334">
        <v>-28.597999999999999</v>
      </c>
      <c r="Q334">
        <v>-26.676741105576401</v>
      </c>
    </row>
    <row r="335" spans="1:17" x14ac:dyDescent="0.25">
      <c r="A335">
        <v>10334</v>
      </c>
      <c r="B335" s="1">
        <v>45991</v>
      </c>
      <c r="C335">
        <v>3536</v>
      </c>
      <c r="D335" t="s">
        <v>21</v>
      </c>
      <c r="E335" t="s">
        <v>24</v>
      </c>
      <c r="F335" t="s">
        <v>26</v>
      </c>
      <c r="G335" t="s">
        <v>20</v>
      </c>
      <c r="H335">
        <v>3</v>
      </c>
      <c r="I335">
        <v>151.97</v>
      </c>
      <c r="J335">
        <v>20</v>
      </c>
      <c r="K335">
        <v>455.909999999999</v>
      </c>
      <c r="L335">
        <v>91.182000000000002</v>
      </c>
      <c r="M335">
        <v>364.72799999999899</v>
      </c>
      <c r="N335">
        <v>94.83</v>
      </c>
      <c r="O335">
        <v>284.49</v>
      </c>
      <c r="P335">
        <v>80.2379999999999</v>
      </c>
      <c r="Q335">
        <v>21.999407777850799</v>
      </c>
    </row>
    <row r="336" spans="1:17" x14ac:dyDescent="0.25">
      <c r="A336">
        <v>10335</v>
      </c>
      <c r="B336" s="1">
        <v>45992</v>
      </c>
      <c r="C336">
        <v>3067</v>
      </c>
      <c r="D336" t="s">
        <v>29</v>
      </c>
      <c r="E336" t="s">
        <v>18</v>
      </c>
      <c r="F336" t="s">
        <v>25</v>
      </c>
      <c r="G336" t="s">
        <v>31</v>
      </c>
      <c r="H336">
        <v>1</v>
      </c>
      <c r="I336">
        <v>63.24</v>
      </c>
      <c r="J336">
        <v>15</v>
      </c>
      <c r="K336">
        <v>63.24</v>
      </c>
      <c r="L336">
        <v>9.4860000000000007</v>
      </c>
      <c r="M336">
        <v>53.753999999999998</v>
      </c>
      <c r="N336">
        <v>71.010000000000005</v>
      </c>
      <c r="O336">
        <v>71.010000000000005</v>
      </c>
      <c r="P336">
        <v>-17.256</v>
      </c>
      <c r="Q336">
        <v>-32.101797075566402</v>
      </c>
    </row>
    <row r="337" spans="1:17" x14ac:dyDescent="0.25">
      <c r="A337">
        <v>10336</v>
      </c>
      <c r="B337" s="1">
        <v>45993</v>
      </c>
      <c r="C337">
        <v>3903</v>
      </c>
      <c r="D337" t="s">
        <v>23</v>
      </c>
      <c r="E337" t="s">
        <v>18</v>
      </c>
      <c r="F337" t="s">
        <v>25</v>
      </c>
      <c r="G337" t="s">
        <v>20</v>
      </c>
      <c r="H337">
        <v>8</v>
      </c>
      <c r="I337">
        <v>17.940000000000001</v>
      </c>
      <c r="J337">
        <v>20</v>
      </c>
      <c r="K337">
        <v>143.52000000000001</v>
      </c>
      <c r="L337">
        <v>28.704000000000001</v>
      </c>
      <c r="M337">
        <v>114.816</v>
      </c>
      <c r="N337">
        <v>114.43</v>
      </c>
      <c r="O337">
        <v>915.44</v>
      </c>
      <c r="P337">
        <v>-800.62400000000002</v>
      </c>
      <c r="Q337">
        <v>-697.31047937569599</v>
      </c>
    </row>
    <row r="338" spans="1:17" x14ac:dyDescent="0.25">
      <c r="A338">
        <v>10337</v>
      </c>
      <c r="B338" s="1">
        <v>45994</v>
      </c>
      <c r="C338">
        <v>3561</v>
      </c>
      <c r="D338" t="s">
        <v>29</v>
      </c>
      <c r="E338" t="s">
        <v>24</v>
      </c>
      <c r="F338" t="s">
        <v>26</v>
      </c>
      <c r="G338" t="s">
        <v>30</v>
      </c>
      <c r="H338">
        <v>3</v>
      </c>
      <c r="I338">
        <v>179.45</v>
      </c>
      <c r="J338">
        <v>0</v>
      </c>
      <c r="K338">
        <v>538.349999999999</v>
      </c>
      <c r="L338">
        <v>0</v>
      </c>
      <c r="M338">
        <v>538.349999999999</v>
      </c>
      <c r="N338">
        <v>48.45</v>
      </c>
      <c r="O338">
        <v>145.35</v>
      </c>
      <c r="P338">
        <v>392.99999999999898</v>
      </c>
      <c r="Q338">
        <v>73.000835887433794</v>
      </c>
    </row>
    <row r="339" spans="1:17" x14ac:dyDescent="0.25">
      <c r="A339">
        <v>10338</v>
      </c>
      <c r="B339" s="1">
        <v>45995</v>
      </c>
      <c r="C339">
        <v>3490</v>
      </c>
      <c r="D339" t="s">
        <v>29</v>
      </c>
      <c r="E339" t="s">
        <v>18</v>
      </c>
      <c r="F339" t="s">
        <v>26</v>
      </c>
      <c r="G339" t="s">
        <v>28</v>
      </c>
      <c r="H339">
        <v>4</v>
      </c>
      <c r="I339">
        <v>176.51</v>
      </c>
      <c r="J339">
        <v>15</v>
      </c>
      <c r="K339">
        <v>706.04</v>
      </c>
      <c r="L339">
        <v>105.905999999999</v>
      </c>
      <c r="M339">
        <v>600.13400000000001</v>
      </c>
      <c r="N339">
        <v>134.62</v>
      </c>
      <c r="O339">
        <v>538.48</v>
      </c>
      <c r="P339">
        <v>61.653999999999897</v>
      </c>
      <c r="Q339">
        <v>10.273372280190699</v>
      </c>
    </row>
    <row r="340" spans="1:17" x14ac:dyDescent="0.25">
      <c r="A340">
        <v>10339</v>
      </c>
      <c r="B340" s="1">
        <v>45996</v>
      </c>
      <c r="C340">
        <v>3416</v>
      </c>
      <c r="D340" t="s">
        <v>17</v>
      </c>
      <c r="E340" t="s">
        <v>18</v>
      </c>
      <c r="F340" t="s">
        <v>19</v>
      </c>
      <c r="G340" t="s">
        <v>20</v>
      </c>
      <c r="H340">
        <v>9</v>
      </c>
      <c r="I340">
        <v>17.13</v>
      </c>
      <c r="J340">
        <v>20</v>
      </c>
      <c r="K340">
        <v>154.16999999999999</v>
      </c>
      <c r="L340">
        <v>30.834</v>
      </c>
      <c r="M340">
        <v>123.335999999999</v>
      </c>
      <c r="N340">
        <v>58.29</v>
      </c>
      <c r="O340">
        <v>524.61</v>
      </c>
      <c r="P340">
        <v>-401.274</v>
      </c>
      <c r="Q340">
        <v>-325.350262697022</v>
      </c>
    </row>
    <row r="341" spans="1:17" x14ac:dyDescent="0.25">
      <c r="A341">
        <v>10340</v>
      </c>
      <c r="B341" s="1">
        <v>45997</v>
      </c>
      <c r="C341">
        <v>3033</v>
      </c>
      <c r="D341" t="s">
        <v>23</v>
      </c>
      <c r="E341" t="s">
        <v>18</v>
      </c>
      <c r="F341" t="s">
        <v>26</v>
      </c>
      <c r="G341" t="s">
        <v>20</v>
      </c>
      <c r="H341">
        <v>9</v>
      </c>
      <c r="I341">
        <v>51.16</v>
      </c>
      <c r="J341">
        <v>10</v>
      </c>
      <c r="K341">
        <v>460.43999999999897</v>
      </c>
      <c r="L341">
        <v>46.043999999999997</v>
      </c>
      <c r="M341">
        <v>414.39599999999899</v>
      </c>
      <c r="N341">
        <v>5.76</v>
      </c>
      <c r="O341">
        <v>51.839999999999897</v>
      </c>
      <c r="P341">
        <v>362.55599999999998</v>
      </c>
      <c r="Q341">
        <v>87.490226739640306</v>
      </c>
    </row>
    <row r="342" spans="1:17" x14ac:dyDescent="0.25">
      <c r="A342">
        <v>10341</v>
      </c>
      <c r="B342" s="1">
        <v>45998</v>
      </c>
      <c r="C342">
        <v>3331</v>
      </c>
      <c r="D342" t="s">
        <v>29</v>
      </c>
      <c r="E342" t="s">
        <v>18</v>
      </c>
      <c r="F342" t="s">
        <v>33</v>
      </c>
      <c r="G342" t="s">
        <v>27</v>
      </c>
      <c r="H342">
        <v>4</v>
      </c>
      <c r="I342">
        <v>44.97</v>
      </c>
      <c r="J342">
        <v>0</v>
      </c>
      <c r="K342">
        <v>179.88</v>
      </c>
      <c r="L342">
        <v>0</v>
      </c>
      <c r="M342">
        <v>179.88</v>
      </c>
      <c r="N342">
        <v>146.88999999999999</v>
      </c>
      <c r="O342">
        <v>587.55999999999995</v>
      </c>
      <c r="P342">
        <v>-407.67999999999898</v>
      </c>
      <c r="Q342">
        <v>-226.63998221036201</v>
      </c>
    </row>
    <row r="343" spans="1:17" x14ac:dyDescent="0.25">
      <c r="A343">
        <v>10342</v>
      </c>
      <c r="B343" s="1">
        <v>45999</v>
      </c>
      <c r="C343">
        <v>3859</v>
      </c>
      <c r="D343" t="s">
        <v>23</v>
      </c>
      <c r="E343" t="s">
        <v>18</v>
      </c>
      <c r="F343" t="s">
        <v>19</v>
      </c>
      <c r="G343" t="s">
        <v>27</v>
      </c>
      <c r="H343">
        <v>8</v>
      </c>
      <c r="I343">
        <v>93.09</v>
      </c>
      <c r="J343">
        <v>20</v>
      </c>
      <c r="K343">
        <v>744.72</v>
      </c>
      <c r="L343">
        <v>148.94399999999999</v>
      </c>
      <c r="M343">
        <v>595.77599999999995</v>
      </c>
      <c r="N343">
        <v>76.930000000000007</v>
      </c>
      <c r="O343">
        <v>615.44000000000005</v>
      </c>
      <c r="P343">
        <v>-19.663999999999898</v>
      </c>
      <c r="Q343">
        <v>-3.3005693414974702</v>
      </c>
    </row>
    <row r="344" spans="1:17" x14ac:dyDescent="0.25">
      <c r="A344">
        <v>10343</v>
      </c>
      <c r="B344" s="1">
        <v>46000</v>
      </c>
      <c r="C344">
        <v>3068</v>
      </c>
      <c r="D344" t="s">
        <v>21</v>
      </c>
      <c r="E344" t="s">
        <v>24</v>
      </c>
      <c r="F344" t="s">
        <v>25</v>
      </c>
      <c r="G344" t="s">
        <v>22</v>
      </c>
      <c r="H344">
        <v>9</v>
      </c>
      <c r="I344">
        <v>48.35</v>
      </c>
      <c r="J344">
        <v>10</v>
      </c>
      <c r="K344">
        <v>435.15</v>
      </c>
      <c r="L344">
        <v>43.515000000000001</v>
      </c>
      <c r="M344">
        <v>391.63499999999999</v>
      </c>
      <c r="N344">
        <v>136.02000000000001</v>
      </c>
      <c r="O344">
        <v>1224.18</v>
      </c>
      <c r="P344">
        <v>-832.54499999999996</v>
      </c>
      <c r="Q344">
        <v>-212.58186832126799</v>
      </c>
    </row>
    <row r="345" spans="1:17" x14ac:dyDescent="0.25">
      <c r="A345">
        <v>10344</v>
      </c>
      <c r="B345" s="1">
        <v>46001</v>
      </c>
      <c r="C345">
        <v>3230</v>
      </c>
      <c r="D345" t="s">
        <v>23</v>
      </c>
      <c r="E345" t="s">
        <v>24</v>
      </c>
      <c r="F345" t="s">
        <v>33</v>
      </c>
      <c r="G345" t="s">
        <v>30</v>
      </c>
      <c r="H345">
        <v>4</v>
      </c>
      <c r="I345">
        <v>113.77</v>
      </c>
      <c r="J345">
        <v>5</v>
      </c>
      <c r="K345">
        <v>455.08</v>
      </c>
      <c r="L345">
        <v>22.754000000000001</v>
      </c>
      <c r="M345">
        <v>432.325999999999</v>
      </c>
      <c r="N345">
        <v>20.81</v>
      </c>
      <c r="O345">
        <v>83.24</v>
      </c>
      <c r="P345">
        <v>349.08599999999899</v>
      </c>
      <c r="Q345">
        <v>80.746011111984899</v>
      </c>
    </row>
    <row r="346" spans="1:17" x14ac:dyDescent="0.25">
      <c r="A346">
        <v>10345</v>
      </c>
      <c r="B346" s="1">
        <v>46002</v>
      </c>
      <c r="C346">
        <v>3607</v>
      </c>
      <c r="D346" t="s">
        <v>29</v>
      </c>
      <c r="E346" t="s">
        <v>18</v>
      </c>
      <c r="F346" t="s">
        <v>19</v>
      </c>
      <c r="G346" t="s">
        <v>30</v>
      </c>
      <c r="H346">
        <v>3</v>
      </c>
      <c r="I346">
        <v>183.97</v>
      </c>
      <c r="J346">
        <v>5</v>
      </c>
      <c r="K346">
        <v>551.91</v>
      </c>
      <c r="L346">
        <v>27.595500000000001</v>
      </c>
      <c r="M346">
        <v>524.31449999999995</v>
      </c>
      <c r="N346">
        <v>33.99</v>
      </c>
      <c r="O346">
        <v>101.97</v>
      </c>
      <c r="P346">
        <v>422.34449999999902</v>
      </c>
      <c r="Q346">
        <v>80.551748997977299</v>
      </c>
    </row>
    <row r="347" spans="1:17" x14ac:dyDescent="0.25">
      <c r="A347">
        <v>10346</v>
      </c>
      <c r="B347" s="1">
        <v>46003</v>
      </c>
      <c r="C347">
        <v>3637</v>
      </c>
      <c r="D347" t="s">
        <v>23</v>
      </c>
      <c r="E347" t="s">
        <v>24</v>
      </c>
      <c r="F347" t="s">
        <v>26</v>
      </c>
      <c r="G347" t="s">
        <v>28</v>
      </c>
      <c r="H347">
        <v>1</v>
      </c>
      <c r="I347">
        <v>204.94</v>
      </c>
      <c r="J347">
        <v>20</v>
      </c>
      <c r="K347">
        <v>204.94</v>
      </c>
      <c r="L347">
        <v>40.988</v>
      </c>
      <c r="M347">
        <v>163.952</v>
      </c>
      <c r="N347">
        <v>75.14</v>
      </c>
      <c r="O347">
        <v>75.14</v>
      </c>
      <c r="P347">
        <v>88.811999999999998</v>
      </c>
      <c r="Q347">
        <v>54.169513028203298</v>
      </c>
    </row>
    <row r="348" spans="1:17" x14ac:dyDescent="0.25">
      <c r="A348">
        <v>10347</v>
      </c>
      <c r="B348" s="1">
        <v>46004</v>
      </c>
      <c r="C348">
        <v>3763</v>
      </c>
      <c r="D348" t="s">
        <v>17</v>
      </c>
      <c r="E348" t="s">
        <v>24</v>
      </c>
      <c r="F348" t="s">
        <v>25</v>
      </c>
      <c r="G348" t="s">
        <v>32</v>
      </c>
      <c r="H348">
        <v>6</v>
      </c>
      <c r="I348">
        <v>211.08</v>
      </c>
      <c r="J348">
        <v>5</v>
      </c>
      <c r="K348">
        <v>1266.48</v>
      </c>
      <c r="L348">
        <v>63.323999999999998</v>
      </c>
      <c r="M348">
        <v>1203.1559999999999</v>
      </c>
      <c r="N348">
        <v>134.84</v>
      </c>
      <c r="O348">
        <v>809.04</v>
      </c>
      <c r="P348">
        <v>394.11599999999999</v>
      </c>
      <c r="Q348">
        <v>32.7568494858522</v>
      </c>
    </row>
    <row r="349" spans="1:17" x14ac:dyDescent="0.25">
      <c r="A349">
        <v>10348</v>
      </c>
      <c r="B349" s="1">
        <v>46005</v>
      </c>
      <c r="C349">
        <v>3573</v>
      </c>
      <c r="D349" t="s">
        <v>29</v>
      </c>
      <c r="E349" t="s">
        <v>18</v>
      </c>
      <c r="F349" t="s">
        <v>25</v>
      </c>
      <c r="G349" t="s">
        <v>20</v>
      </c>
      <c r="H349">
        <v>1</v>
      </c>
      <c r="I349">
        <v>67.959999999999994</v>
      </c>
      <c r="J349">
        <v>20</v>
      </c>
      <c r="K349">
        <v>67.959999999999994</v>
      </c>
      <c r="L349">
        <v>13.591999999999899</v>
      </c>
      <c r="M349">
        <v>54.367999999999903</v>
      </c>
      <c r="N349">
        <v>18.34</v>
      </c>
      <c r="O349">
        <v>18.34</v>
      </c>
      <c r="P349">
        <v>36.027999999999899</v>
      </c>
      <c r="Q349">
        <v>66.266921718657997</v>
      </c>
    </row>
    <row r="350" spans="1:17" x14ac:dyDescent="0.25">
      <c r="A350">
        <v>10349</v>
      </c>
      <c r="B350" s="1">
        <v>46006</v>
      </c>
      <c r="C350">
        <v>3862</v>
      </c>
      <c r="D350" t="s">
        <v>23</v>
      </c>
      <c r="E350" t="s">
        <v>18</v>
      </c>
      <c r="F350" t="s">
        <v>25</v>
      </c>
      <c r="G350" t="s">
        <v>28</v>
      </c>
      <c r="H350">
        <v>4</v>
      </c>
      <c r="I350">
        <v>128.41999999999999</v>
      </c>
      <c r="J350">
        <v>5</v>
      </c>
      <c r="K350">
        <v>513.67999999999995</v>
      </c>
      <c r="L350">
        <v>25.683999999999902</v>
      </c>
      <c r="M350">
        <v>487.99599999999998</v>
      </c>
      <c r="N350">
        <v>83.08</v>
      </c>
      <c r="O350">
        <v>332.32</v>
      </c>
      <c r="P350">
        <v>155.67599999999999</v>
      </c>
      <c r="Q350">
        <v>31.901081156402899</v>
      </c>
    </row>
    <row r="351" spans="1:17" x14ac:dyDescent="0.25">
      <c r="A351">
        <v>10350</v>
      </c>
      <c r="B351" s="1">
        <v>46007</v>
      </c>
      <c r="C351">
        <v>3078</v>
      </c>
      <c r="D351" t="s">
        <v>21</v>
      </c>
      <c r="E351" t="s">
        <v>24</v>
      </c>
      <c r="F351" t="s">
        <v>19</v>
      </c>
      <c r="G351" t="s">
        <v>30</v>
      </c>
      <c r="H351">
        <v>2</v>
      </c>
      <c r="I351">
        <v>209.46</v>
      </c>
      <c r="J351">
        <v>15</v>
      </c>
      <c r="K351">
        <v>418.92</v>
      </c>
      <c r="L351">
        <v>62.838000000000001</v>
      </c>
      <c r="M351">
        <v>356.08199999999999</v>
      </c>
      <c r="N351">
        <v>114.93</v>
      </c>
      <c r="O351">
        <v>229.86</v>
      </c>
      <c r="P351">
        <v>126.221999999999</v>
      </c>
      <c r="Q351">
        <v>35.447453114731999</v>
      </c>
    </row>
    <row r="352" spans="1:17" x14ac:dyDescent="0.25">
      <c r="A352">
        <v>10351</v>
      </c>
      <c r="B352" s="1">
        <v>46008</v>
      </c>
      <c r="C352">
        <v>3876</v>
      </c>
      <c r="D352" t="s">
        <v>17</v>
      </c>
      <c r="E352" t="s">
        <v>18</v>
      </c>
      <c r="F352" t="s">
        <v>26</v>
      </c>
      <c r="G352" t="s">
        <v>30</v>
      </c>
      <c r="H352">
        <v>5</v>
      </c>
      <c r="I352">
        <v>228.77</v>
      </c>
      <c r="J352">
        <v>20</v>
      </c>
      <c r="K352">
        <v>1143.8499999999999</v>
      </c>
      <c r="L352">
        <v>228.77</v>
      </c>
      <c r="M352">
        <v>915.08</v>
      </c>
      <c r="N352">
        <v>61.61</v>
      </c>
      <c r="O352">
        <v>308.05</v>
      </c>
      <c r="P352">
        <v>607.03</v>
      </c>
      <c r="Q352">
        <v>66.336276609695304</v>
      </c>
    </row>
    <row r="353" spans="1:17" x14ac:dyDescent="0.25">
      <c r="A353">
        <v>10352</v>
      </c>
      <c r="B353" s="1">
        <v>46009</v>
      </c>
      <c r="C353">
        <v>3427</v>
      </c>
      <c r="D353" t="s">
        <v>23</v>
      </c>
      <c r="E353" t="s">
        <v>24</v>
      </c>
      <c r="F353" t="s">
        <v>25</v>
      </c>
      <c r="G353" t="s">
        <v>28</v>
      </c>
      <c r="H353">
        <v>7</v>
      </c>
      <c r="I353">
        <v>183.76</v>
      </c>
      <c r="J353">
        <v>5</v>
      </c>
      <c r="K353">
        <v>1286.32</v>
      </c>
      <c r="L353">
        <v>64.316000000000003</v>
      </c>
      <c r="M353">
        <v>1222.0039999999999</v>
      </c>
      <c r="N353">
        <v>69.569999999999993</v>
      </c>
      <c r="O353">
        <v>486.98999999999899</v>
      </c>
      <c r="P353">
        <v>735.01399999999899</v>
      </c>
      <c r="Q353">
        <v>60.148248287239603</v>
      </c>
    </row>
    <row r="354" spans="1:17" x14ac:dyDescent="0.25">
      <c r="A354">
        <v>10353</v>
      </c>
      <c r="B354" s="1">
        <v>46010</v>
      </c>
      <c r="C354">
        <v>3588</v>
      </c>
      <c r="D354" t="s">
        <v>29</v>
      </c>
      <c r="E354" t="s">
        <v>24</v>
      </c>
      <c r="F354" t="s">
        <v>33</v>
      </c>
      <c r="G354" t="s">
        <v>28</v>
      </c>
      <c r="H354">
        <v>4</v>
      </c>
      <c r="I354">
        <v>124.8</v>
      </c>
      <c r="J354">
        <v>15</v>
      </c>
      <c r="K354">
        <v>499.2</v>
      </c>
      <c r="L354">
        <v>74.88</v>
      </c>
      <c r="M354">
        <v>424.32</v>
      </c>
      <c r="N354">
        <v>140.38999999999999</v>
      </c>
      <c r="O354">
        <v>561.55999999999995</v>
      </c>
      <c r="P354">
        <v>-137.23999999999899</v>
      </c>
      <c r="Q354">
        <v>-32.343514328808403</v>
      </c>
    </row>
    <row r="355" spans="1:17" x14ac:dyDescent="0.25">
      <c r="A355">
        <v>10354</v>
      </c>
      <c r="B355" s="1">
        <v>46011</v>
      </c>
      <c r="C355">
        <v>3400</v>
      </c>
      <c r="D355" t="s">
        <v>29</v>
      </c>
      <c r="E355" t="s">
        <v>18</v>
      </c>
      <c r="F355" t="s">
        <v>26</v>
      </c>
      <c r="G355" t="s">
        <v>20</v>
      </c>
      <c r="H355">
        <v>2</v>
      </c>
      <c r="I355">
        <v>48.98</v>
      </c>
      <c r="J355">
        <v>0</v>
      </c>
      <c r="K355">
        <v>97.96</v>
      </c>
      <c r="L355">
        <v>0</v>
      </c>
      <c r="M355">
        <v>97.96</v>
      </c>
      <c r="N355">
        <v>82.87</v>
      </c>
      <c r="O355">
        <v>165.74</v>
      </c>
      <c r="P355">
        <v>-67.78</v>
      </c>
      <c r="Q355">
        <v>-69.191506737443802</v>
      </c>
    </row>
    <row r="356" spans="1:17" x14ac:dyDescent="0.25">
      <c r="A356">
        <v>10355</v>
      </c>
      <c r="B356" s="1">
        <v>46012</v>
      </c>
      <c r="C356">
        <v>3369</v>
      </c>
      <c r="D356" t="s">
        <v>29</v>
      </c>
      <c r="E356" t="s">
        <v>24</v>
      </c>
      <c r="F356" t="s">
        <v>33</v>
      </c>
      <c r="G356" t="s">
        <v>28</v>
      </c>
      <c r="H356">
        <v>1</v>
      </c>
      <c r="I356">
        <v>199.85</v>
      </c>
      <c r="J356">
        <v>15</v>
      </c>
      <c r="K356">
        <v>199.85</v>
      </c>
      <c r="L356">
        <v>29.977499999999999</v>
      </c>
      <c r="M356">
        <v>169.8725</v>
      </c>
      <c r="N356">
        <v>105.05</v>
      </c>
      <c r="O356">
        <v>105.05</v>
      </c>
      <c r="P356">
        <v>64.822500000000005</v>
      </c>
      <c r="Q356">
        <v>38.159501979425698</v>
      </c>
    </row>
    <row r="357" spans="1:17" x14ac:dyDescent="0.25">
      <c r="A357">
        <v>10356</v>
      </c>
      <c r="B357" s="1">
        <v>46013</v>
      </c>
      <c r="C357">
        <v>3634</v>
      </c>
      <c r="D357" t="s">
        <v>21</v>
      </c>
      <c r="E357" t="s">
        <v>24</v>
      </c>
      <c r="F357" t="s">
        <v>19</v>
      </c>
      <c r="G357" t="s">
        <v>22</v>
      </c>
      <c r="H357">
        <v>6</v>
      </c>
      <c r="I357">
        <v>78.540000000000006</v>
      </c>
      <c r="J357">
        <v>15</v>
      </c>
      <c r="K357">
        <v>471.24</v>
      </c>
      <c r="L357">
        <v>70.685999999999893</v>
      </c>
      <c r="M357">
        <v>400.55399999999997</v>
      </c>
      <c r="N357">
        <v>102.58</v>
      </c>
      <c r="O357">
        <v>615.48</v>
      </c>
      <c r="P357">
        <v>-214.92599999999999</v>
      </c>
      <c r="Q357">
        <v>-53.657184799053297</v>
      </c>
    </row>
    <row r="358" spans="1:17" x14ac:dyDescent="0.25">
      <c r="A358">
        <v>10357</v>
      </c>
      <c r="B358" s="1">
        <v>46014</v>
      </c>
      <c r="C358">
        <v>3410</v>
      </c>
      <c r="D358" t="s">
        <v>21</v>
      </c>
      <c r="E358" t="s">
        <v>24</v>
      </c>
      <c r="F358" t="s">
        <v>26</v>
      </c>
      <c r="G358" t="s">
        <v>32</v>
      </c>
      <c r="H358">
        <v>5</v>
      </c>
      <c r="I358">
        <v>49.62</v>
      </c>
      <c r="J358">
        <v>5</v>
      </c>
      <c r="K358">
        <v>248.1</v>
      </c>
      <c r="L358">
        <v>12.404999999999999</v>
      </c>
      <c r="M358">
        <v>235.69499999999999</v>
      </c>
      <c r="N358">
        <v>135.1</v>
      </c>
      <c r="O358">
        <v>675.5</v>
      </c>
      <c r="P358">
        <v>-439.80500000000001</v>
      </c>
      <c r="Q358">
        <v>-186.599206601752</v>
      </c>
    </row>
    <row r="359" spans="1:17" x14ac:dyDescent="0.25">
      <c r="A359">
        <v>10358</v>
      </c>
      <c r="B359" s="1">
        <v>46015</v>
      </c>
      <c r="C359">
        <v>3992</v>
      </c>
      <c r="D359" t="s">
        <v>17</v>
      </c>
      <c r="E359" t="s">
        <v>18</v>
      </c>
      <c r="F359" t="s">
        <v>19</v>
      </c>
      <c r="G359" t="s">
        <v>28</v>
      </c>
      <c r="H359">
        <v>2</v>
      </c>
      <c r="I359">
        <v>53.83</v>
      </c>
      <c r="J359">
        <v>5</v>
      </c>
      <c r="K359">
        <v>107.66</v>
      </c>
      <c r="L359">
        <v>5.383</v>
      </c>
      <c r="M359">
        <v>102.277</v>
      </c>
      <c r="N359">
        <v>54.51</v>
      </c>
      <c r="O359">
        <v>109.02</v>
      </c>
      <c r="P359">
        <v>-6.7429999999999897</v>
      </c>
      <c r="Q359">
        <v>-6.59288011967499</v>
      </c>
    </row>
    <row r="360" spans="1:17" x14ac:dyDescent="0.25">
      <c r="A360">
        <v>10359</v>
      </c>
      <c r="B360" s="1">
        <v>46016</v>
      </c>
      <c r="C360">
        <v>3380</v>
      </c>
      <c r="D360" t="s">
        <v>17</v>
      </c>
      <c r="E360" t="s">
        <v>18</v>
      </c>
      <c r="F360" t="s">
        <v>25</v>
      </c>
      <c r="G360" t="s">
        <v>32</v>
      </c>
      <c r="H360">
        <v>3</v>
      </c>
      <c r="I360">
        <v>178</v>
      </c>
      <c r="J360">
        <v>15</v>
      </c>
      <c r="K360">
        <v>534</v>
      </c>
      <c r="L360">
        <v>80.099999999999994</v>
      </c>
      <c r="M360">
        <v>453.9</v>
      </c>
      <c r="N360">
        <v>84.34</v>
      </c>
      <c r="O360">
        <v>253.02</v>
      </c>
      <c r="P360">
        <v>200.879999999999</v>
      </c>
      <c r="Q360">
        <v>44.256444150693902</v>
      </c>
    </row>
    <row r="361" spans="1:17" x14ac:dyDescent="0.25">
      <c r="A361">
        <v>10360</v>
      </c>
      <c r="B361" s="1">
        <v>46017</v>
      </c>
      <c r="C361">
        <v>3865</v>
      </c>
      <c r="D361" t="s">
        <v>21</v>
      </c>
      <c r="E361" t="s">
        <v>18</v>
      </c>
      <c r="F361" t="s">
        <v>33</v>
      </c>
      <c r="G361" t="s">
        <v>20</v>
      </c>
      <c r="H361">
        <v>4</v>
      </c>
      <c r="I361">
        <v>231.1</v>
      </c>
      <c r="J361">
        <v>0</v>
      </c>
      <c r="K361">
        <v>924.4</v>
      </c>
      <c r="L361">
        <v>0</v>
      </c>
      <c r="M361">
        <v>924.4</v>
      </c>
      <c r="N361">
        <v>35.97</v>
      </c>
      <c r="O361">
        <v>143.88</v>
      </c>
      <c r="P361">
        <v>780.52</v>
      </c>
      <c r="Q361">
        <v>84.435309389874504</v>
      </c>
    </row>
    <row r="362" spans="1:17" x14ac:dyDescent="0.25">
      <c r="A362">
        <v>10361</v>
      </c>
      <c r="B362" s="1">
        <v>46018</v>
      </c>
      <c r="C362">
        <v>3520</v>
      </c>
      <c r="D362" t="s">
        <v>29</v>
      </c>
      <c r="E362" t="s">
        <v>24</v>
      </c>
      <c r="F362" t="s">
        <v>19</v>
      </c>
      <c r="G362" t="s">
        <v>27</v>
      </c>
      <c r="H362">
        <v>9</v>
      </c>
      <c r="I362">
        <v>42.21</v>
      </c>
      <c r="J362">
        <v>5</v>
      </c>
      <c r="K362">
        <v>379.89</v>
      </c>
      <c r="L362">
        <v>18.994499999999999</v>
      </c>
      <c r="M362">
        <v>360.895499999999</v>
      </c>
      <c r="N362">
        <v>53.26</v>
      </c>
      <c r="O362">
        <v>479.34</v>
      </c>
      <c r="P362">
        <v>-118.44450000000001</v>
      </c>
      <c r="Q362">
        <v>-32.819611217097403</v>
      </c>
    </row>
    <row r="363" spans="1:17" x14ac:dyDescent="0.25">
      <c r="A363">
        <v>10362</v>
      </c>
      <c r="B363" s="1">
        <v>46019</v>
      </c>
      <c r="C363">
        <v>3692</v>
      </c>
      <c r="D363" t="s">
        <v>21</v>
      </c>
      <c r="E363" t="s">
        <v>24</v>
      </c>
      <c r="F363" t="s">
        <v>25</v>
      </c>
      <c r="G363" t="s">
        <v>28</v>
      </c>
      <c r="H363">
        <v>8</v>
      </c>
      <c r="I363">
        <v>245.22</v>
      </c>
      <c r="J363">
        <v>10</v>
      </c>
      <c r="K363">
        <v>1961.76</v>
      </c>
      <c r="L363">
        <v>196.17599999999999</v>
      </c>
      <c r="M363">
        <v>1765.5840000000001</v>
      </c>
      <c r="N363">
        <v>124.17</v>
      </c>
      <c r="O363">
        <v>993.36</v>
      </c>
      <c r="P363">
        <v>772.22400000000005</v>
      </c>
      <c r="Q363">
        <v>43.737596172144698</v>
      </c>
    </row>
    <row r="364" spans="1:17" x14ac:dyDescent="0.25">
      <c r="A364">
        <v>10363</v>
      </c>
      <c r="B364" s="1">
        <v>46020</v>
      </c>
      <c r="C364">
        <v>3606</v>
      </c>
      <c r="D364" t="s">
        <v>21</v>
      </c>
      <c r="E364" t="s">
        <v>18</v>
      </c>
      <c r="F364" t="s">
        <v>19</v>
      </c>
      <c r="G364" t="s">
        <v>27</v>
      </c>
      <c r="H364">
        <v>6</v>
      </c>
      <c r="I364">
        <v>195.28</v>
      </c>
      <c r="J364">
        <v>15</v>
      </c>
      <c r="K364">
        <v>1171.68</v>
      </c>
      <c r="L364">
        <v>175.75200000000001</v>
      </c>
      <c r="M364">
        <v>995.928</v>
      </c>
      <c r="N364">
        <v>144.74</v>
      </c>
      <c r="O364">
        <v>868.44</v>
      </c>
      <c r="P364">
        <v>127.488</v>
      </c>
      <c r="Q364">
        <v>12.8009253680989</v>
      </c>
    </row>
    <row r="365" spans="1:17" x14ac:dyDescent="0.25">
      <c r="A365">
        <v>10364</v>
      </c>
      <c r="B365" s="1">
        <v>46021</v>
      </c>
      <c r="C365">
        <v>3865</v>
      </c>
      <c r="D365" t="s">
        <v>21</v>
      </c>
      <c r="E365" t="s">
        <v>18</v>
      </c>
      <c r="F365" t="s">
        <v>19</v>
      </c>
      <c r="G365" t="s">
        <v>28</v>
      </c>
      <c r="H365">
        <v>8</v>
      </c>
      <c r="I365">
        <v>93.85</v>
      </c>
      <c r="J365">
        <v>5</v>
      </c>
      <c r="K365">
        <v>750.8</v>
      </c>
      <c r="L365">
        <v>37.54</v>
      </c>
      <c r="M365">
        <v>713.26</v>
      </c>
      <c r="N365">
        <v>52.55</v>
      </c>
      <c r="O365">
        <v>420.4</v>
      </c>
      <c r="P365">
        <v>292.86</v>
      </c>
      <c r="Q365">
        <v>41.059361242744501</v>
      </c>
    </row>
    <row r="366" spans="1:17" x14ac:dyDescent="0.25">
      <c r="A366">
        <v>10365</v>
      </c>
      <c r="B366" s="1">
        <v>46022</v>
      </c>
      <c r="C366">
        <v>3719</v>
      </c>
      <c r="D366" t="s">
        <v>29</v>
      </c>
      <c r="E366" t="s">
        <v>18</v>
      </c>
      <c r="F366" t="s">
        <v>26</v>
      </c>
      <c r="G366" t="s">
        <v>20</v>
      </c>
      <c r="H366">
        <v>5</v>
      </c>
      <c r="I366">
        <v>25.78</v>
      </c>
      <c r="J366">
        <v>10</v>
      </c>
      <c r="K366">
        <v>128.9</v>
      </c>
      <c r="L366">
        <v>12.89</v>
      </c>
      <c r="M366">
        <v>116.01</v>
      </c>
      <c r="N366">
        <v>115.45</v>
      </c>
      <c r="O366">
        <v>577.25</v>
      </c>
      <c r="P366">
        <v>-461.24</v>
      </c>
      <c r="Q366">
        <v>-397.586414964227</v>
      </c>
    </row>
    <row r="367" spans="1:17" x14ac:dyDescent="0.25">
      <c r="A367">
        <v>10366</v>
      </c>
      <c r="B367" s="1">
        <v>46023</v>
      </c>
      <c r="C367">
        <v>3406</v>
      </c>
      <c r="D367" t="s">
        <v>23</v>
      </c>
      <c r="E367" t="s">
        <v>24</v>
      </c>
      <c r="F367" t="s">
        <v>33</v>
      </c>
      <c r="G367" t="s">
        <v>28</v>
      </c>
      <c r="H367">
        <v>1</v>
      </c>
      <c r="I367">
        <v>109.46</v>
      </c>
      <c r="J367">
        <v>0</v>
      </c>
      <c r="K367">
        <v>109.46</v>
      </c>
      <c r="L367">
        <v>0</v>
      </c>
      <c r="M367">
        <v>109.46</v>
      </c>
      <c r="N367">
        <v>82.96</v>
      </c>
      <c r="O367">
        <v>82.96</v>
      </c>
      <c r="P367">
        <v>26.5</v>
      </c>
      <c r="Q367">
        <v>24.209756988854298</v>
      </c>
    </row>
    <row r="368" spans="1:17" x14ac:dyDescent="0.25">
      <c r="A368">
        <v>10367</v>
      </c>
      <c r="B368" s="1">
        <v>46024</v>
      </c>
      <c r="C368">
        <v>3184</v>
      </c>
      <c r="D368" t="s">
        <v>17</v>
      </c>
      <c r="E368" t="s">
        <v>18</v>
      </c>
      <c r="F368" t="s">
        <v>33</v>
      </c>
      <c r="G368" t="s">
        <v>31</v>
      </c>
      <c r="H368">
        <v>2</v>
      </c>
      <c r="I368">
        <v>140.09</v>
      </c>
      <c r="J368">
        <v>5</v>
      </c>
      <c r="K368">
        <v>280.18</v>
      </c>
      <c r="L368">
        <v>14.009</v>
      </c>
      <c r="M368">
        <v>266.17099999999999</v>
      </c>
      <c r="N368">
        <v>105.43</v>
      </c>
      <c r="O368">
        <v>210.86</v>
      </c>
      <c r="P368">
        <v>55.3109999999999</v>
      </c>
      <c r="Q368">
        <v>20.780250290226899</v>
      </c>
    </row>
    <row r="369" spans="1:17" x14ac:dyDescent="0.25">
      <c r="A369">
        <v>10368</v>
      </c>
      <c r="B369" s="1">
        <v>46025</v>
      </c>
      <c r="C369">
        <v>3181</v>
      </c>
      <c r="D369" t="s">
        <v>29</v>
      </c>
      <c r="E369" t="s">
        <v>24</v>
      </c>
      <c r="F369" t="s">
        <v>19</v>
      </c>
      <c r="G369" t="s">
        <v>31</v>
      </c>
      <c r="H369">
        <v>4</v>
      </c>
      <c r="I369">
        <v>93.98</v>
      </c>
      <c r="J369">
        <v>20</v>
      </c>
      <c r="K369">
        <v>375.92</v>
      </c>
      <c r="L369">
        <v>75.183999999999997</v>
      </c>
      <c r="M369">
        <v>300.73599999999999</v>
      </c>
      <c r="N369">
        <v>58.13</v>
      </c>
      <c r="O369">
        <v>232.52</v>
      </c>
      <c r="P369">
        <v>68.215999999999894</v>
      </c>
      <c r="Q369">
        <v>22.683017663332599</v>
      </c>
    </row>
    <row r="370" spans="1:17" x14ac:dyDescent="0.25">
      <c r="A370">
        <v>10369</v>
      </c>
      <c r="B370" s="1">
        <v>46026</v>
      </c>
      <c r="C370">
        <v>3546</v>
      </c>
      <c r="D370" t="s">
        <v>23</v>
      </c>
      <c r="E370" t="s">
        <v>18</v>
      </c>
      <c r="F370" t="s">
        <v>26</v>
      </c>
      <c r="G370" t="s">
        <v>27</v>
      </c>
      <c r="H370">
        <v>9</v>
      </c>
      <c r="I370">
        <v>205.1</v>
      </c>
      <c r="J370">
        <v>20</v>
      </c>
      <c r="K370">
        <v>1845.8999999999901</v>
      </c>
      <c r="L370">
        <v>369.18</v>
      </c>
      <c r="M370">
        <v>1476.71999999999</v>
      </c>
      <c r="N370">
        <v>56.24</v>
      </c>
      <c r="O370">
        <v>506.16</v>
      </c>
      <c r="P370">
        <v>970.55999999999904</v>
      </c>
      <c r="Q370">
        <v>65.724037055094996</v>
      </c>
    </row>
    <row r="371" spans="1:17" x14ac:dyDescent="0.25">
      <c r="A371">
        <v>10370</v>
      </c>
      <c r="B371" s="1">
        <v>46027</v>
      </c>
      <c r="C371">
        <v>3780</v>
      </c>
      <c r="D371" t="s">
        <v>29</v>
      </c>
      <c r="E371" t="s">
        <v>24</v>
      </c>
      <c r="F371" t="s">
        <v>33</v>
      </c>
      <c r="G371" t="s">
        <v>32</v>
      </c>
      <c r="H371">
        <v>7</v>
      </c>
      <c r="I371">
        <v>100.57</v>
      </c>
      <c r="J371">
        <v>15</v>
      </c>
      <c r="K371">
        <v>703.99</v>
      </c>
      <c r="L371">
        <v>105.5985</v>
      </c>
      <c r="M371">
        <v>598.39149999999995</v>
      </c>
      <c r="N371">
        <v>34.9</v>
      </c>
      <c r="O371">
        <v>244.29999999999899</v>
      </c>
      <c r="P371">
        <v>354.0915</v>
      </c>
      <c r="Q371">
        <v>59.173885324239997</v>
      </c>
    </row>
    <row r="372" spans="1:17" x14ac:dyDescent="0.25">
      <c r="A372">
        <v>10371</v>
      </c>
      <c r="B372" s="1">
        <v>46028</v>
      </c>
      <c r="C372">
        <v>3260</v>
      </c>
      <c r="D372" t="s">
        <v>23</v>
      </c>
      <c r="E372" t="s">
        <v>18</v>
      </c>
      <c r="F372" t="s">
        <v>33</v>
      </c>
      <c r="G372" t="s">
        <v>22</v>
      </c>
      <c r="H372">
        <v>1</v>
      </c>
      <c r="I372">
        <v>137.51</v>
      </c>
      <c r="J372">
        <v>20</v>
      </c>
      <c r="K372">
        <v>137.51</v>
      </c>
      <c r="L372">
        <v>27.501999999999999</v>
      </c>
      <c r="M372">
        <v>110.008</v>
      </c>
      <c r="N372">
        <v>77.709999999999994</v>
      </c>
      <c r="O372">
        <v>77.709999999999994</v>
      </c>
      <c r="P372">
        <v>32.298000000000002</v>
      </c>
      <c r="Q372">
        <v>29.359682932150299</v>
      </c>
    </row>
    <row r="373" spans="1:17" x14ac:dyDescent="0.25">
      <c r="A373">
        <v>10372</v>
      </c>
      <c r="B373" s="1">
        <v>46029</v>
      </c>
      <c r="C373">
        <v>3044</v>
      </c>
      <c r="D373" t="s">
        <v>23</v>
      </c>
      <c r="E373" t="s">
        <v>24</v>
      </c>
      <c r="F373" t="s">
        <v>25</v>
      </c>
      <c r="G373" t="s">
        <v>22</v>
      </c>
      <c r="H373">
        <v>3</v>
      </c>
      <c r="I373">
        <v>148.61000000000001</v>
      </c>
      <c r="J373">
        <v>10</v>
      </c>
      <c r="K373">
        <v>445.83</v>
      </c>
      <c r="L373">
        <v>44.582999999999998</v>
      </c>
      <c r="M373">
        <v>401.24700000000001</v>
      </c>
      <c r="N373">
        <v>13.09</v>
      </c>
      <c r="O373">
        <v>39.269999999999897</v>
      </c>
      <c r="P373">
        <v>361.97699999999998</v>
      </c>
      <c r="Q373">
        <v>90.213010938399506</v>
      </c>
    </row>
    <row r="374" spans="1:17" x14ac:dyDescent="0.25">
      <c r="A374">
        <v>10373</v>
      </c>
      <c r="B374" s="1">
        <v>46030</v>
      </c>
      <c r="C374">
        <v>3311</v>
      </c>
      <c r="D374" t="s">
        <v>17</v>
      </c>
      <c r="E374" t="s">
        <v>18</v>
      </c>
      <c r="F374" t="s">
        <v>33</v>
      </c>
      <c r="G374" t="s">
        <v>28</v>
      </c>
      <c r="H374">
        <v>6</v>
      </c>
      <c r="I374">
        <v>198.51</v>
      </c>
      <c r="J374">
        <v>0</v>
      </c>
      <c r="K374">
        <v>1191.06</v>
      </c>
      <c r="L374">
        <v>0</v>
      </c>
      <c r="M374">
        <v>1191.06</v>
      </c>
      <c r="N374">
        <v>129.75</v>
      </c>
      <c r="O374">
        <v>778.5</v>
      </c>
      <c r="P374">
        <v>412.55999999999898</v>
      </c>
      <c r="Q374">
        <v>34.638053498564297</v>
      </c>
    </row>
    <row r="375" spans="1:17" x14ac:dyDescent="0.25">
      <c r="A375">
        <v>10374</v>
      </c>
      <c r="B375" s="1">
        <v>46031</v>
      </c>
      <c r="C375">
        <v>3276</v>
      </c>
      <c r="D375" t="s">
        <v>29</v>
      </c>
      <c r="E375" t="s">
        <v>18</v>
      </c>
      <c r="F375" t="s">
        <v>25</v>
      </c>
      <c r="G375" t="s">
        <v>30</v>
      </c>
      <c r="H375">
        <v>5</v>
      </c>
      <c r="I375">
        <v>32.909999999999997</v>
      </c>
      <c r="J375">
        <v>20</v>
      </c>
      <c r="K375">
        <v>164.54999999999899</v>
      </c>
      <c r="L375">
        <v>32.909999999999997</v>
      </c>
      <c r="M375">
        <v>131.63999999999999</v>
      </c>
      <c r="N375">
        <v>40.380000000000003</v>
      </c>
      <c r="O375">
        <v>201.9</v>
      </c>
      <c r="P375">
        <v>-70.260000000000005</v>
      </c>
      <c r="Q375">
        <v>-53.372835004557899</v>
      </c>
    </row>
    <row r="376" spans="1:17" x14ac:dyDescent="0.25">
      <c r="A376">
        <v>10375</v>
      </c>
      <c r="B376" s="1">
        <v>46032</v>
      </c>
      <c r="C376">
        <v>3811</v>
      </c>
      <c r="D376" t="s">
        <v>17</v>
      </c>
      <c r="E376" t="s">
        <v>24</v>
      </c>
      <c r="F376" t="s">
        <v>26</v>
      </c>
      <c r="G376" t="s">
        <v>32</v>
      </c>
      <c r="H376">
        <v>5</v>
      </c>
      <c r="I376">
        <v>210.52</v>
      </c>
      <c r="J376">
        <v>0</v>
      </c>
      <c r="K376">
        <v>1052.5999999999999</v>
      </c>
      <c r="L376">
        <v>0</v>
      </c>
      <c r="M376">
        <v>1052.5999999999999</v>
      </c>
      <c r="N376">
        <v>96.89</v>
      </c>
      <c r="O376">
        <v>484.45</v>
      </c>
      <c r="P376">
        <v>568.15</v>
      </c>
      <c r="Q376">
        <v>53.9758692760782</v>
      </c>
    </row>
    <row r="377" spans="1:17" x14ac:dyDescent="0.25">
      <c r="A377">
        <v>10376</v>
      </c>
      <c r="B377" s="1">
        <v>46033</v>
      </c>
      <c r="C377">
        <v>3433</v>
      </c>
      <c r="D377" t="s">
        <v>17</v>
      </c>
      <c r="E377" t="s">
        <v>18</v>
      </c>
      <c r="F377" t="s">
        <v>19</v>
      </c>
      <c r="G377" t="s">
        <v>32</v>
      </c>
      <c r="H377">
        <v>8</v>
      </c>
      <c r="I377">
        <v>150.9</v>
      </c>
      <c r="J377">
        <v>15</v>
      </c>
      <c r="K377">
        <v>1207.2</v>
      </c>
      <c r="L377">
        <v>181.08</v>
      </c>
      <c r="M377">
        <v>1026.1199999999999</v>
      </c>
      <c r="N377">
        <v>78.36</v>
      </c>
      <c r="O377">
        <v>626.88</v>
      </c>
      <c r="P377">
        <v>399.24</v>
      </c>
      <c r="Q377">
        <v>38.907730090047899</v>
      </c>
    </row>
    <row r="378" spans="1:17" x14ac:dyDescent="0.25">
      <c r="A378">
        <v>10377</v>
      </c>
      <c r="B378" s="1">
        <v>46034</v>
      </c>
      <c r="C378">
        <v>3274</v>
      </c>
      <c r="D378" t="s">
        <v>21</v>
      </c>
      <c r="E378" t="s">
        <v>18</v>
      </c>
      <c r="F378" t="s">
        <v>19</v>
      </c>
      <c r="G378" t="s">
        <v>31</v>
      </c>
      <c r="H378">
        <v>5</v>
      </c>
      <c r="I378">
        <v>209.63</v>
      </c>
      <c r="J378">
        <v>20</v>
      </c>
      <c r="K378">
        <v>1048.1500000000001</v>
      </c>
      <c r="L378">
        <v>209.63</v>
      </c>
      <c r="M378">
        <v>838.52</v>
      </c>
      <c r="N378">
        <v>55.38</v>
      </c>
      <c r="O378">
        <v>276.89999999999998</v>
      </c>
      <c r="P378">
        <v>561.62</v>
      </c>
      <c r="Q378">
        <v>66.9775318418165</v>
      </c>
    </row>
    <row r="379" spans="1:17" x14ac:dyDescent="0.25">
      <c r="A379">
        <v>10378</v>
      </c>
      <c r="B379" s="1">
        <v>46035</v>
      </c>
      <c r="C379">
        <v>3184</v>
      </c>
      <c r="D379" t="s">
        <v>23</v>
      </c>
      <c r="E379" t="s">
        <v>24</v>
      </c>
      <c r="F379" t="s">
        <v>33</v>
      </c>
      <c r="G379" t="s">
        <v>32</v>
      </c>
      <c r="H379">
        <v>2</v>
      </c>
      <c r="I379">
        <v>129.81</v>
      </c>
      <c r="J379">
        <v>15</v>
      </c>
      <c r="K379">
        <v>259.62</v>
      </c>
      <c r="L379">
        <v>38.942999999999998</v>
      </c>
      <c r="M379">
        <v>220.67699999999999</v>
      </c>
      <c r="N379">
        <v>141.85</v>
      </c>
      <c r="O379">
        <v>283.7</v>
      </c>
      <c r="P379">
        <v>-63.022999999999897</v>
      </c>
      <c r="Q379">
        <v>-28.558934551403102</v>
      </c>
    </row>
    <row r="380" spans="1:17" x14ac:dyDescent="0.25">
      <c r="A380">
        <v>10379</v>
      </c>
      <c r="B380" s="1">
        <v>46036</v>
      </c>
      <c r="C380">
        <v>3661</v>
      </c>
      <c r="D380" t="s">
        <v>21</v>
      </c>
      <c r="E380" t="s">
        <v>18</v>
      </c>
      <c r="F380" t="s">
        <v>33</v>
      </c>
      <c r="G380" t="s">
        <v>31</v>
      </c>
      <c r="H380">
        <v>3</v>
      </c>
      <c r="I380">
        <v>145</v>
      </c>
      <c r="J380">
        <v>15</v>
      </c>
      <c r="K380">
        <v>435</v>
      </c>
      <c r="L380">
        <v>65.25</v>
      </c>
      <c r="M380">
        <v>369.75</v>
      </c>
      <c r="N380">
        <v>128.1</v>
      </c>
      <c r="O380">
        <v>384.29999999999899</v>
      </c>
      <c r="P380">
        <v>-14.549999999999899</v>
      </c>
      <c r="Q380">
        <v>-3.9350912778904501</v>
      </c>
    </row>
    <row r="381" spans="1:17" x14ac:dyDescent="0.25">
      <c r="A381">
        <v>10380</v>
      </c>
      <c r="B381" s="1">
        <v>46037</v>
      </c>
      <c r="C381">
        <v>3946</v>
      </c>
      <c r="D381" t="s">
        <v>17</v>
      </c>
      <c r="E381" t="s">
        <v>24</v>
      </c>
      <c r="F381" t="s">
        <v>19</v>
      </c>
      <c r="G381" t="s">
        <v>20</v>
      </c>
      <c r="H381">
        <v>8</v>
      </c>
      <c r="I381">
        <v>233.82</v>
      </c>
      <c r="J381">
        <v>0</v>
      </c>
      <c r="K381">
        <v>1870.56</v>
      </c>
      <c r="L381">
        <v>0</v>
      </c>
      <c r="M381">
        <v>1870.56</v>
      </c>
      <c r="N381">
        <v>111.63</v>
      </c>
      <c r="O381">
        <v>893.04</v>
      </c>
      <c r="P381">
        <v>977.52</v>
      </c>
      <c r="Q381">
        <v>52.258147292789303</v>
      </c>
    </row>
    <row r="382" spans="1:17" x14ac:dyDescent="0.25">
      <c r="A382">
        <v>10381</v>
      </c>
      <c r="B382" s="1">
        <v>46038</v>
      </c>
      <c r="C382">
        <v>3121</v>
      </c>
      <c r="D382" t="s">
        <v>17</v>
      </c>
      <c r="E382" t="s">
        <v>18</v>
      </c>
      <c r="F382" t="s">
        <v>25</v>
      </c>
      <c r="G382" t="s">
        <v>31</v>
      </c>
      <c r="H382">
        <v>9</v>
      </c>
      <c r="I382">
        <v>159.38999999999999</v>
      </c>
      <c r="J382">
        <v>5</v>
      </c>
      <c r="K382">
        <v>1434.50999999999</v>
      </c>
      <c r="L382">
        <v>71.725499999999997</v>
      </c>
      <c r="M382">
        <v>1362.78449999999</v>
      </c>
      <c r="N382">
        <v>22.16</v>
      </c>
      <c r="O382">
        <v>199.44</v>
      </c>
      <c r="P382">
        <v>1163.3444999999899</v>
      </c>
      <c r="Q382">
        <v>85.365257676470407</v>
      </c>
    </row>
    <row r="383" spans="1:17" x14ac:dyDescent="0.25">
      <c r="A383">
        <v>10382</v>
      </c>
      <c r="B383" s="1">
        <v>46039</v>
      </c>
      <c r="C383">
        <v>3406</v>
      </c>
      <c r="D383" t="s">
        <v>17</v>
      </c>
      <c r="E383" t="s">
        <v>18</v>
      </c>
      <c r="F383" t="s">
        <v>33</v>
      </c>
      <c r="G383" t="s">
        <v>30</v>
      </c>
      <c r="H383">
        <v>7</v>
      </c>
      <c r="I383">
        <v>164.88</v>
      </c>
      <c r="J383">
        <v>0</v>
      </c>
      <c r="K383">
        <v>1154.1599999999901</v>
      </c>
      <c r="L383">
        <v>0</v>
      </c>
      <c r="M383">
        <v>1154.1599999999901</v>
      </c>
      <c r="N383">
        <v>72.040000000000006</v>
      </c>
      <c r="O383">
        <v>504.28</v>
      </c>
      <c r="P383">
        <v>649.87999999999897</v>
      </c>
      <c r="Q383">
        <v>56.307617661329402</v>
      </c>
    </row>
    <row r="384" spans="1:17" x14ac:dyDescent="0.25">
      <c r="A384">
        <v>10383</v>
      </c>
      <c r="B384" s="1">
        <v>46040</v>
      </c>
      <c r="C384">
        <v>3018</v>
      </c>
      <c r="D384" t="s">
        <v>21</v>
      </c>
      <c r="E384" t="s">
        <v>24</v>
      </c>
      <c r="F384" t="s">
        <v>25</v>
      </c>
      <c r="G384" t="s">
        <v>31</v>
      </c>
      <c r="H384">
        <v>6</v>
      </c>
      <c r="I384">
        <v>210.98</v>
      </c>
      <c r="J384">
        <v>0</v>
      </c>
      <c r="K384">
        <v>1265.8799999999901</v>
      </c>
      <c r="L384">
        <v>0</v>
      </c>
      <c r="M384">
        <v>1265.8799999999901</v>
      </c>
      <c r="N384">
        <v>99.41</v>
      </c>
      <c r="O384">
        <v>596.46</v>
      </c>
      <c r="P384">
        <v>669.41999999999905</v>
      </c>
      <c r="Q384">
        <v>52.881789743103603</v>
      </c>
    </row>
    <row r="385" spans="1:17" x14ac:dyDescent="0.25">
      <c r="A385">
        <v>10384</v>
      </c>
      <c r="B385" s="1">
        <v>46041</v>
      </c>
      <c r="C385">
        <v>3965</v>
      </c>
      <c r="D385" t="s">
        <v>17</v>
      </c>
      <c r="E385" t="s">
        <v>18</v>
      </c>
      <c r="F385" t="s">
        <v>19</v>
      </c>
      <c r="G385" t="s">
        <v>27</v>
      </c>
      <c r="H385">
        <v>4</v>
      </c>
      <c r="I385">
        <v>227.99</v>
      </c>
      <c r="J385">
        <v>10</v>
      </c>
      <c r="K385">
        <v>911.96</v>
      </c>
      <c r="L385">
        <v>91.195999999999998</v>
      </c>
      <c r="M385">
        <v>820.76400000000001</v>
      </c>
      <c r="N385">
        <v>18.829999999999998</v>
      </c>
      <c r="O385">
        <v>75.319999999999993</v>
      </c>
      <c r="P385">
        <v>745.44399999999996</v>
      </c>
      <c r="Q385">
        <v>90.823184252720594</v>
      </c>
    </row>
    <row r="386" spans="1:17" x14ac:dyDescent="0.25">
      <c r="A386">
        <v>10385</v>
      </c>
      <c r="B386" s="1">
        <v>46042</v>
      </c>
      <c r="C386">
        <v>3871</v>
      </c>
      <c r="D386" t="s">
        <v>17</v>
      </c>
      <c r="E386" t="s">
        <v>24</v>
      </c>
      <c r="F386" t="s">
        <v>33</v>
      </c>
      <c r="G386" t="s">
        <v>28</v>
      </c>
      <c r="H386">
        <v>7</v>
      </c>
      <c r="I386">
        <v>68.47</v>
      </c>
      <c r="J386">
        <v>15</v>
      </c>
      <c r="K386">
        <v>479.289999999999</v>
      </c>
      <c r="L386">
        <v>71.893499999999904</v>
      </c>
      <c r="M386">
        <v>407.39649999999898</v>
      </c>
      <c r="N386">
        <v>105.89</v>
      </c>
      <c r="O386">
        <v>741.23</v>
      </c>
      <c r="P386">
        <v>-333.83350000000002</v>
      </c>
      <c r="Q386">
        <v>-81.943143841441895</v>
      </c>
    </row>
    <row r="387" spans="1:17" x14ac:dyDescent="0.25">
      <c r="A387">
        <v>10386</v>
      </c>
      <c r="B387" s="1">
        <v>46043</v>
      </c>
      <c r="C387">
        <v>3247</v>
      </c>
      <c r="D387" t="s">
        <v>17</v>
      </c>
      <c r="E387" t="s">
        <v>24</v>
      </c>
      <c r="F387" t="s">
        <v>19</v>
      </c>
      <c r="G387" t="s">
        <v>22</v>
      </c>
      <c r="H387">
        <v>1</v>
      </c>
      <c r="I387">
        <v>168.91</v>
      </c>
      <c r="J387">
        <v>15</v>
      </c>
      <c r="K387">
        <v>168.91</v>
      </c>
      <c r="L387">
        <v>25.336499999999901</v>
      </c>
      <c r="M387">
        <v>143.5735</v>
      </c>
      <c r="N387">
        <v>123.38</v>
      </c>
      <c r="O387">
        <v>123.38</v>
      </c>
      <c r="P387">
        <v>20.1935</v>
      </c>
      <c r="Q387">
        <v>14.064921451382</v>
      </c>
    </row>
    <row r="388" spans="1:17" x14ac:dyDescent="0.25">
      <c r="A388">
        <v>10387</v>
      </c>
      <c r="B388" s="1">
        <v>46044</v>
      </c>
      <c r="C388">
        <v>3005</v>
      </c>
      <c r="D388" t="s">
        <v>17</v>
      </c>
      <c r="E388" t="s">
        <v>24</v>
      </c>
      <c r="F388" t="s">
        <v>26</v>
      </c>
      <c r="G388" t="s">
        <v>22</v>
      </c>
      <c r="H388">
        <v>7</v>
      </c>
      <c r="I388">
        <v>38.89</v>
      </c>
      <c r="J388">
        <v>0</v>
      </c>
      <c r="K388">
        <v>272.23</v>
      </c>
      <c r="L388">
        <v>0</v>
      </c>
      <c r="M388">
        <v>272.23</v>
      </c>
      <c r="N388">
        <v>142.63</v>
      </c>
      <c r="O388">
        <v>998.41</v>
      </c>
      <c r="P388">
        <v>-726.18</v>
      </c>
      <c r="Q388">
        <v>-266.75237850347099</v>
      </c>
    </row>
    <row r="389" spans="1:17" x14ac:dyDescent="0.25">
      <c r="A389">
        <v>10388</v>
      </c>
      <c r="B389" s="1">
        <v>46045</v>
      </c>
      <c r="C389">
        <v>3645</v>
      </c>
      <c r="D389" t="s">
        <v>21</v>
      </c>
      <c r="E389" t="s">
        <v>18</v>
      </c>
      <c r="F389" t="s">
        <v>25</v>
      </c>
      <c r="G389" t="s">
        <v>27</v>
      </c>
      <c r="H389">
        <v>1</v>
      </c>
      <c r="I389">
        <v>25.67</v>
      </c>
      <c r="J389">
        <v>10</v>
      </c>
      <c r="K389">
        <v>25.67</v>
      </c>
      <c r="L389">
        <v>2.5670000000000002</v>
      </c>
      <c r="M389">
        <v>23.103000000000002</v>
      </c>
      <c r="N389">
        <v>77.8</v>
      </c>
      <c r="O389">
        <v>77.8</v>
      </c>
      <c r="P389">
        <v>-54.696999999999903</v>
      </c>
      <c r="Q389">
        <v>-236.75280266632001</v>
      </c>
    </row>
    <row r="390" spans="1:17" x14ac:dyDescent="0.25">
      <c r="A390">
        <v>10389</v>
      </c>
      <c r="B390" s="1">
        <v>46046</v>
      </c>
      <c r="C390">
        <v>3838</v>
      </c>
      <c r="D390" t="s">
        <v>21</v>
      </c>
      <c r="E390" t="s">
        <v>24</v>
      </c>
      <c r="F390" t="s">
        <v>26</v>
      </c>
      <c r="G390" t="s">
        <v>27</v>
      </c>
      <c r="H390">
        <v>7</v>
      </c>
      <c r="I390">
        <v>162.94</v>
      </c>
      <c r="J390">
        <v>15</v>
      </c>
      <c r="K390">
        <v>1140.58</v>
      </c>
      <c r="L390">
        <v>171.08699999999999</v>
      </c>
      <c r="M390">
        <v>969.49299999999903</v>
      </c>
      <c r="N390">
        <v>9.16</v>
      </c>
      <c r="O390">
        <v>64.12</v>
      </c>
      <c r="P390">
        <v>905.37299999999902</v>
      </c>
      <c r="Q390">
        <v>93.386233835623301</v>
      </c>
    </row>
    <row r="391" spans="1:17" x14ac:dyDescent="0.25">
      <c r="A391">
        <v>10390</v>
      </c>
      <c r="B391" s="1">
        <v>46047</v>
      </c>
      <c r="C391">
        <v>3479</v>
      </c>
      <c r="D391" t="s">
        <v>23</v>
      </c>
      <c r="E391" t="s">
        <v>24</v>
      </c>
      <c r="F391" t="s">
        <v>26</v>
      </c>
      <c r="G391" t="s">
        <v>22</v>
      </c>
      <c r="H391">
        <v>6</v>
      </c>
      <c r="I391">
        <v>127.65</v>
      </c>
      <c r="J391">
        <v>10</v>
      </c>
      <c r="K391">
        <v>765.9</v>
      </c>
      <c r="L391">
        <v>76.59</v>
      </c>
      <c r="M391">
        <v>689.31</v>
      </c>
      <c r="N391">
        <v>35.159999999999997</v>
      </c>
      <c r="O391">
        <v>210.95999999999901</v>
      </c>
      <c r="P391">
        <v>478.35</v>
      </c>
      <c r="Q391">
        <v>69.395482438960698</v>
      </c>
    </row>
    <row r="392" spans="1:17" x14ac:dyDescent="0.25">
      <c r="A392">
        <v>10391</v>
      </c>
      <c r="B392" s="1">
        <v>46048</v>
      </c>
      <c r="C392">
        <v>3157</v>
      </c>
      <c r="D392" t="s">
        <v>17</v>
      </c>
      <c r="E392" t="s">
        <v>18</v>
      </c>
      <c r="F392" t="s">
        <v>33</v>
      </c>
      <c r="G392" t="s">
        <v>30</v>
      </c>
      <c r="H392">
        <v>2</v>
      </c>
      <c r="I392">
        <v>221.52</v>
      </c>
      <c r="J392">
        <v>5</v>
      </c>
      <c r="K392">
        <v>443.04</v>
      </c>
      <c r="L392">
        <v>22.152000000000001</v>
      </c>
      <c r="M392">
        <v>420.88799999999998</v>
      </c>
      <c r="N392">
        <v>121.76</v>
      </c>
      <c r="O392">
        <v>243.52</v>
      </c>
      <c r="P392">
        <v>177.36799999999999</v>
      </c>
      <c r="Q392">
        <v>42.141377278515897</v>
      </c>
    </row>
    <row r="393" spans="1:17" x14ac:dyDescent="0.25">
      <c r="A393">
        <v>10392</v>
      </c>
      <c r="B393" s="1">
        <v>46049</v>
      </c>
      <c r="C393">
        <v>3400</v>
      </c>
      <c r="D393" t="s">
        <v>29</v>
      </c>
      <c r="E393" t="s">
        <v>18</v>
      </c>
      <c r="F393" t="s">
        <v>19</v>
      </c>
      <c r="G393" t="s">
        <v>31</v>
      </c>
      <c r="H393">
        <v>2</v>
      </c>
      <c r="I393">
        <v>98.54</v>
      </c>
      <c r="J393">
        <v>15</v>
      </c>
      <c r="K393">
        <v>197.08</v>
      </c>
      <c r="L393">
        <v>29.562000000000001</v>
      </c>
      <c r="M393">
        <v>167.518</v>
      </c>
      <c r="N393">
        <v>26.51</v>
      </c>
      <c r="O393">
        <v>53.02</v>
      </c>
      <c r="P393">
        <v>114.497999999999</v>
      </c>
      <c r="Q393">
        <v>68.349669886221093</v>
      </c>
    </row>
    <row r="394" spans="1:17" x14ac:dyDescent="0.25">
      <c r="A394">
        <v>10393</v>
      </c>
      <c r="B394" s="1">
        <v>46050</v>
      </c>
      <c r="C394">
        <v>3938</v>
      </c>
      <c r="D394" t="s">
        <v>21</v>
      </c>
      <c r="E394" t="s">
        <v>24</v>
      </c>
      <c r="F394" t="s">
        <v>25</v>
      </c>
      <c r="G394" t="s">
        <v>27</v>
      </c>
      <c r="H394">
        <v>5</v>
      </c>
      <c r="I394">
        <v>215.07</v>
      </c>
      <c r="J394">
        <v>20</v>
      </c>
      <c r="K394">
        <v>1075.3499999999999</v>
      </c>
      <c r="L394">
        <v>215.07</v>
      </c>
      <c r="M394">
        <v>860.28</v>
      </c>
      <c r="N394">
        <v>95.23</v>
      </c>
      <c r="O394">
        <v>476.15</v>
      </c>
      <c r="P394">
        <v>384.12999999999897</v>
      </c>
      <c r="Q394">
        <v>44.651741293532297</v>
      </c>
    </row>
    <row r="395" spans="1:17" x14ac:dyDescent="0.25">
      <c r="A395">
        <v>10394</v>
      </c>
      <c r="B395" s="1">
        <v>46051</v>
      </c>
      <c r="C395">
        <v>3246</v>
      </c>
      <c r="D395" t="s">
        <v>21</v>
      </c>
      <c r="E395" t="s">
        <v>24</v>
      </c>
      <c r="F395" t="s">
        <v>25</v>
      </c>
      <c r="G395" t="s">
        <v>20</v>
      </c>
      <c r="H395">
        <v>6</v>
      </c>
      <c r="I395">
        <v>193.14</v>
      </c>
      <c r="J395">
        <v>10</v>
      </c>
      <c r="K395">
        <v>1158.8399999999999</v>
      </c>
      <c r="L395">
        <v>115.884</v>
      </c>
      <c r="M395">
        <v>1042.9559999999999</v>
      </c>
      <c r="N395">
        <v>99.71</v>
      </c>
      <c r="O395">
        <v>598.26</v>
      </c>
      <c r="P395">
        <v>444.695999999999</v>
      </c>
      <c r="Q395">
        <v>42.6380403391897</v>
      </c>
    </row>
    <row r="396" spans="1:17" x14ac:dyDescent="0.25">
      <c r="A396">
        <v>10395</v>
      </c>
      <c r="B396" s="1">
        <v>46052</v>
      </c>
      <c r="C396">
        <v>3942</v>
      </c>
      <c r="D396" t="s">
        <v>23</v>
      </c>
      <c r="E396" t="s">
        <v>18</v>
      </c>
      <c r="F396" t="s">
        <v>26</v>
      </c>
      <c r="G396" t="s">
        <v>27</v>
      </c>
      <c r="H396">
        <v>6</v>
      </c>
      <c r="I396">
        <v>88.09</v>
      </c>
      <c r="J396">
        <v>15</v>
      </c>
      <c r="K396">
        <v>528.54</v>
      </c>
      <c r="L396">
        <v>79.280999999999906</v>
      </c>
      <c r="M396">
        <v>449.25899999999899</v>
      </c>
      <c r="N396">
        <v>69.459999999999994</v>
      </c>
      <c r="O396">
        <v>416.76</v>
      </c>
      <c r="P396">
        <v>32.498999999999903</v>
      </c>
      <c r="Q396">
        <v>7.2339118414989896</v>
      </c>
    </row>
    <row r="397" spans="1:17" x14ac:dyDescent="0.25">
      <c r="A397">
        <v>10396</v>
      </c>
      <c r="B397" s="1">
        <v>46053</v>
      </c>
      <c r="C397">
        <v>3068</v>
      </c>
      <c r="D397" t="s">
        <v>17</v>
      </c>
      <c r="E397" t="s">
        <v>24</v>
      </c>
      <c r="F397" t="s">
        <v>33</v>
      </c>
      <c r="G397" t="s">
        <v>31</v>
      </c>
      <c r="H397">
        <v>1</v>
      </c>
      <c r="I397">
        <v>76.790000000000006</v>
      </c>
      <c r="J397">
        <v>0</v>
      </c>
      <c r="K397">
        <v>76.790000000000006</v>
      </c>
      <c r="L397">
        <v>0</v>
      </c>
      <c r="M397">
        <v>76.790000000000006</v>
      </c>
      <c r="N397">
        <v>118.85</v>
      </c>
      <c r="O397">
        <v>118.85</v>
      </c>
      <c r="P397">
        <v>-42.059999999999903</v>
      </c>
      <c r="Q397">
        <v>-54.772756869383997</v>
      </c>
    </row>
    <row r="398" spans="1:17" x14ac:dyDescent="0.25">
      <c r="A398">
        <v>10397</v>
      </c>
      <c r="B398" s="1">
        <v>46054</v>
      </c>
      <c r="C398">
        <v>3238</v>
      </c>
      <c r="D398" t="s">
        <v>21</v>
      </c>
      <c r="E398" t="s">
        <v>18</v>
      </c>
      <c r="F398" t="s">
        <v>26</v>
      </c>
      <c r="G398" t="s">
        <v>32</v>
      </c>
      <c r="H398">
        <v>9</v>
      </c>
      <c r="I398">
        <v>180.27</v>
      </c>
      <c r="J398">
        <v>0</v>
      </c>
      <c r="K398">
        <v>1622.43</v>
      </c>
      <c r="L398">
        <v>0</v>
      </c>
      <c r="M398">
        <v>1622.43</v>
      </c>
      <c r="N398">
        <v>22.82</v>
      </c>
      <c r="O398">
        <v>205.38</v>
      </c>
      <c r="P398">
        <v>1417.05</v>
      </c>
      <c r="Q398">
        <v>87.341210406612305</v>
      </c>
    </row>
    <row r="399" spans="1:17" x14ac:dyDescent="0.25">
      <c r="A399">
        <v>10398</v>
      </c>
      <c r="B399" s="1">
        <v>46055</v>
      </c>
      <c r="C399">
        <v>3102</v>
      </c>
      <c r="D399" t="s">
        <v>23</v>
      </c>
      <c r="E399" t="s">
        <v>18</v>
      </c>
      <c r="F399" t="s">
        <v>25</v>
      </c>
      <c r="G399" t="s">
        <v>32</v>
      </c>
      <c r="H399">
        <v>6</v>
      </c>
      <c r="I399">
        <v>196.2</v>
      </c>
      <c r="J399">
        <v>20</v>
      </c>
      <c r="K399">
        <v>1177.19999999999</v>
      </c>
      <c r="L399">
        <v>235.439999999999</v>
      </c>
      <c r="M399">
        <v>941.75999999999897</v>
      </c>
      <c r="N399">
        <v>94.91</v>
      </c>
      <c r="O399">
        <v>569.46</v>
      </c>
      <c r="P399">
        <v>372.29999999999899</v>
      </c>
      <c r="Q399">
        <v>39.532364933741</v>
      </c>
    </row>
    <row r="400" spans="1:17" x14ac:dyDescent="0.25">
      <c r="A400">
        <v>10399</v>
      </c>
      <c r="B400" s="1">
        <v>46056</v>
      </c>
      <c r="C400">
        <v>3717</v>
      </c>
      <c r="D400" t="s">
        <v>29</v>
      </c>
      <c r="E400" t="s">
        <v>24</v>
      </c>
      <c r="F400" t="s">
        <v>25</v>
      </c>
      <c r="G400" t="s">
        <v>31</v>
      </c>
      <c r="H400">
        <v>9</v>
      </c>
      <c r="I400">
        <v>148.32</v>
      </c>
      <c r="J400">
        <v>10</v>
      </c>
      <c r="K400">
        <v>1334.8799999999901</v>
      </c>
      <c r="L400">
        <v>133.488</v>
      </c>
      <c r="M400">
        <v>1201.39199999999</v>
      </c>
      <c r="N400">
        <v>60.17</v>
      </c>
      <c r="O400">
        <v>541.53</v>
      </c>
      <c r="P400">
        <v>659.86199999999894</v>
      </c>
      <c r="Q400">
        <v>54.924787246793699</v>
      </c>
    </row>
    <row r="401" spans="1:17" x14ac:dyDescent="0.25">
      <c r="A401">
        <v>10400</v>
      </c>
      <c r="B401" s="1">
        <v>46057</v>
      </c>
      <c r="C401">
        <v>3450</v>
      </c>
      <c r="D401" t="s">
        <v>29</v>
      </c>
      <c r="E401" t="s">
        <v>18</v>
      </c>
      <c r="F401" t="s">
        <v>19</v>
      </c>
      <c r="G401" t="s">
        <v>20</v>
      </c>
      <c r="H401">
        <v>4</v>
      </c>
      <c r="I401">
        <v>42.86</v>
      </c>
      <c r="J401">
        <v>10</v>
      </c>
      <c r="K401">
        <v>171.44</v>
      </c>
      <c r="L401">
        <v>17.143999999999998</v>
      </c>
      <c r="M401">
        <v>154.29599999999999</v>
      </c>
      <c r="N401">
        <v>129.34</v>
      </c>
      <c r="O401">
        <v>517.36</v>
      </c>
      <c r="P401">
        <v>-363.06400000000002</v>
      </c>
      <c r="Q401">
        <v>-235.303572354435</v>
      </c>
    </row>
    <row r="402" spans="1:17" x14ac:dyDescent="0.25">
      <c r="A402">
        <v>10401</v>
      </c>
      <c r="B402" s="1">
        <v>46058</v>
      </c>
      <c r="C402">
        <v>3908</v>
      </c>
      <c r="D402" t="s">
        <v>29</v>
      </c>
      <c r="E402" t="s">
        <v>18</v>
      </c>
      <c r="F402" t="s">
        <v>33</v>
      </c>
      <c r="G402" t="s">
        <v>22</v>
      </c>
      <c r="H402">
        <v>2</v>
      </c>
      <c r="I402">
        <v>201.66</v>
      </c>
      <c r="J402">
        <v>0</v>
      </c>
      <c r="K402">
        <v>403.32</v>
      </c>
      <c r="L402">
        <v>0</v>
      </c>
      <c r="M402">
        <v>403.32</v>
      </c>
      <c r="N402">
        <v>62.46</v>
      </c>
      <c r="O402">
        <v>124.92</v>
      </c>
      <c r="P402">
        <v>278.39999999999998</v>
      </c>
      <c r="Q402">
        <v>69.027075275215694</v>
      </c>
    </row>
    <row r="403" spans="1:17" x14ac:dyDescent="0.25">
      <c r="A403">
        <v>10402</v>
      </c>
      <c r="B403" s="1">
        <v>46059</v>
      </c>
      <c r="C403">
        <v>3822</v>
      </c>
      <c r="D403" t="s">
        <v>17</v>
      </c>
      <c r="E403" t="s">
        <v>24</v>
      </c>
      <c r="F403" t="s">
        <v>25</v>
      </c>
      <c r="G403" t="s">
        <v>30</v>
      </c>
      <c r="H403">
        <v>7</v>
      </c>
      <c r="I403">
        <v>160.79</v>
      </c>
      <c r="J403">
        <v>20</v>
      </c>
      <c r="K403">
        <v>1125.53</v>
      </c>
      <c r="L403">
        <v>225.10599999999999</v>
      </c>
      <c r="M403">
        <v>900.42399999999998</v>
      </c>
      <c r="N403">
        <v>32.380000000000003</v>
      </c>
      <c r="O403">
        <v>226.66</v>
      </c>
      <c r="P403">
        <v>673.76399999999899</v>
      </c>
      <c r="Q403">
        <v>74.827414640213902</v>
      </c>
    </row>
    <row r="404" spans="1:17" x14ac:dyDescent="0.25">
      <c r="A404">
        <v>10403</v>
      </c>
      <c r="B404" s="1">
        <v>46060</v>
      </c>
      <c r="C404">
        <v>3088</v>
      </c>
      <c r="D404" t="s">
        <v>21</v>
      </c>
      <c r="E404" t="s">
        <v>24</v>
      </c>
      <c r="F404" t="s">
        <v>19</v>
      </c>
      <c r="G404" t="s">
        <v>32</v>
      </c>
      <c r="H404">
        <v>8</v>
      </c>
      <c r="I404">
        <v>164.16</v>
      </c>
      <c r="J404">
        <v>5</v>
      </c>
      <c r="K404">
        <v>1313.28</v>
      </c>
      <c r="L404">
        <v>65.664000000000001</v>
      </c>
      <c r="M404">
        <v>1247.616</v>
      </c>
      <c r="N404">
        <v>54.95</v>
      </c>
      <c r="O404">
        <v>439.6</v>
      </c>
      <c r="P404">
        <v>808.01599999999996</v>
      </c>
      <c r="Q404">
        <v>64.764799425464204</v>
      </c>
    </row>
    <row r="405" spans="1:17" x14ac:dyDescent="0.25">
      <c r="A405">
        <v>10404</v>
      </c>
      <c r="B405" s="1">
        <v>46061</v>
      </c>
      <c r="C405">
        <v>3091</v>
      </c>
      <c r="D405" t="s">
        <v>21</v>
      </c>
      <c r="E405" t="s">
        <v>18</v>
      </c>
      <c r="F405" t="s">
        <v>26</v>
      </c>
      <c r="G405" t="s">
        <v>20</v>
      </c>
      <c r="H405">
        <v>8</v>
      </c>
      <c r="I405">
        <v>138.32</v>
      </c>
      <c r="J405">
        <v>10</v>
      </c>
      <c r="K405">
        <v>1106.56</v>
      </c>
      <c r="L405">
        <v>110.65600000000001</v>
      </c>
      <c r="M405">
        <v>995.904</v>
      </c>
      <c r="N405">
        <v>81.12</v>
      </c>
      <c r="O405">
        <v>648.96</v>
      </c>
      <c r="P405">
        <v>346.94399999999899</v>
      </c>
      <c r="Q405">
        <v>34.8370927318295</v>
      </c>
    </row>
    <row r="406" spans="1:17" x14ac:dyDescent="0.25">
      <c r="A406">
        <v>10405</v>
      </c>
      <c r="B406" s="1">
        <v>46062</v>
      </c>
      <c r="C406">
        <v>3439</v>
      </c>
      <c r="D406" t="s">
        <v>29</v>
      </c>
      <c r="E406" t="s">
        <v>24</v>
      </c>
      <c r="F406" t="s">
        <v>25</v>
      </c>
      <c r="G406" t="s">
        <v>20</v>
      </c>
      <c r="H406">
        <v>8</v>
      </c>
      <c r="I406">
        <v>106.67</v>
      </c>
      <c r="J406">
        <v>5</v>
      </c>
      <c r="K406">
        <v>853.36</v>
      </c>
      <c r="L406">
        <v>42.667999999999999</v>
      </c>
      <c r="M406">
        <v>810.69200000000001</v>
      </c>
      <c r="N406">
        <v>16.62</v>
      </c>
      <c r="O406">
        <v>132.96</v>
      </c>
      <c r="P406">
        <v>677.73199999999997</v>
      </c>
      <c r="Q406">
        <v>83.599196735628297</v>
      </c>
    </row>
    <row r="407" spans="1:17" x14ac:dyDescent="0.25">
      <c r="A407">
        <v>10406</v>
      </c>
      <c r="B407" s="1">
        <v>46063</v>
      </c>
      <c r="C407">
        <v>3016</v>
      </c>
      <c r="D407" t="s">
        <v>17</v>
      </c>
      <c r="E407" t="s">
        <v>18</v>
      </c>
      <c r="F407" t="s">
        <v>19</v>
      </c>
      <c r="G407" t="s">
        <v>30</v>
      </c>
      <c r="H407">
        <v>9</v>
      </c>
      <c r="I407">
        <v>205.32</v>
      </c>
      <c r="J407">
        <v>10</v>
      </c>
      <c r="K407">
        <v>1847.8799999999901</v>
      </c>
      <c r="L407">
        <v>184.78800000000001</v>
      </c>
      <c r="M407">
        <v>1663.0919999999901</v>
      </c>
      <c r="N407">
        <v>130.25</v>
      </c>
      <c r="O407">
        <v>1172.25</v>
      </c>
      <c r="P407">
        <v>490.84199999999902</v>
      </c>
      <c r="Q407">
        <v>29.513821243803701</v>
      </c>
    </row>
    <row r="408" spans="1:17" x14ac:dyDescent="0.25">
      <c r="A408">
        <v>10407</v>
      </c>
      <c r="B408" s="1">
        <v>46064</v>
      </c>
      <c r="C408">
        <v>3494</v>
      </c>
      <c r="D408" t="s">
        <v>17</v>
      </c>
      <c r="E408" t="s">
        <v>18</v>
      </c>
      <c r="F408" t="s">
        <v>33</v>
      </c>
      <c r="G408" t="s">
        <v>27</v>
      </c>
      <c r="H408">
        <v>9</v>
      </c>
      <c r="I408">
        <v>136.41</v>
      </c>
      <c r="J408">
        <v>0</v>
      </c>
      <c r="K408">
        <v>1227.69</v>
      </c>
      <c r="L408">
        <v>0</v>
      </c>
      <c r="M408">
        <v>1227.69</v>
      </c>
      <c r="N408">
        <v>99.43</v>
      </c>
      <c r="O408">
        <v>894.87</v>
      </c>
      <c r="P408">
        <v>332.81999999999903</v>
      </c>
      <c r="Q408">
        <v>27.109449453852299</v>
      </c>
    </row>
    <row r="409" spans="1:17" x14ac:dyDescent="0.25">
      <c r="A409">
        <v>10408</v>
      </c>
      <c r="B409" s="1">
        <v>46065</v>
      </c>
      <c r="C409">
        <v>3380</v>
      </c>
      <c r="D409" t="s">
        <v>17</v>
      </c>
      <c r="E409" t="s">
        <v>18</v>
      </c>
      <c r="F409" t="s">
        <v>26</v>
      </c>
      <c r="G409" t="s">
        <v>22</v>
      </c>
      <c r="H409">
        <v>2</v>
      </c>
      <c r="I409">
        <v>189.57</v>
      </c>
      <c r="J409">
        <v>20</v>
      </c>
      <c r="K409">
        <v>379.14</v>
      </c>
      <c r="L409">
        <v>75.828000000000003</v>
      </c>
      <c r="M409">
        <v>303.31200000000001</v>
      </c>
      <c r="N409">
        <v>50.35</v>
      </c>
      <c r="O409">
        <v>100.7</v>
      </c>
      <c r="P409">
        <v>202.61199999999999</v>
      </c>
      <c r="Q409">
        <v>66.799862847496897</v>
      </c>
    </row>
    <row r="410" spans="1:17" x14ac:dyDescent="0.25">
      <c r="A410">
        <v>10409</v>
      </c>
      <c r="B410" s="1">
        <v>46066</v>
      </c>
      <c r="C410">
        <v>3645</v>
      </c>
      <c r="D410" t="s">
        <v>23</v>
      </c>
      <c r="E410" t="s">
        <v>24</v>
      </c>
      <c r="F410" t="s">
        <v>26</v>
      </c>
      <c r="G410" t="s">
        <v>22</v>
      </c>
      <c r="H410">
        <v>2</v>
      </c>
      <c r="I410">
        <v>133.97999999999999</v>
      </c>
      <c r="J410">
        <v>0</v>
      </c>
      <c r="K410">
        <v>267.95999999999998</v>
      </c>
      <c r="L410">
        <v>0</v>
      </c>
      <c r="M410">
        <v>267.95999999999998</v>
      </c>
      <c r="N410">
        <v>93.17</v>
      </c>
      <c r="O410">
        <v>186.34</v>
      </c>
      <c r="P410">
        <v>81.619999999999905</v>
      </c>
      <c r="Q410">
        <v>30.459770114942501</v>
      </c>
    </row>
    <row r="411" spans="1:17" x14ac:dyDescent="0.25">
      <c r="A411">
        <v>10410</v>
      </c>
      <c r="B411" s="1">
        <v>46067</v>
      </c>
      <c r="C411">
        <v>3104</v>
      </c>
      <c r="D411" t="s">
        <v>29</v>
      </c>
      <c r="E411" t="s">
        <v>24</v>
      </c>
      <c r="F411" t="s">
        <v>33</v>
      </c>
      <c r="G411" t="s">
        <v>27</v>
      </c>
      <c r="H411">
        <v>1</v>
      </c>
      <c r="I411">
        <v>42.94</v>
      </c>
      <c r="J411">
        <v>0</v>
      </c>
      <c r="K411">
        <v>42.94</v>
      </c>
      <c r="L411">
        <v>0</v>
      </c>
      <c r="M411">
        <v>42.94</v>
      </c>
      <c r="N411">
        <v>147.63999999999999</v>
      </c>
      <c r="O411">
        <v>147.63999999999999</v>
      </c>
      <c r="P411">
        <v>-104.69999999999899</v>
      </c>
      <c r="Q411">
        <v>-243.82859804378199</v>
      </c>
    </row>
    <row r="412" spans="1:17" x14ac:dyDescent="0.25">
      <c r="A412">
        <v>10411</v>
      </c>
      <c r="B412" s="1">
        <v>46068</v>
      </c>
      <c r="C412">
        <v>3605</v>
      </c>
      <c r="D412" t="s">
        <v>17</v>
      </c>
      <c r="E412" t="s">
        <v>24</v>
      </c>
      <c r="F412" t="s">
        <v>19</v>
      </c>
      <c r="G412" t="s">
        <v>31</v>
      </c>
      <c r="H412">
        <v>2</v>
      </c>
      <c r="I412">
        <v>38.93</v>
      </c>
      <c r="J412">
        <v>5</v>
      </c>
      <c r="K412">
        <v>77.86</v>
      </c>
      <c r="L412">
        <v>3.8929999999999998</v>
      </c>
      <c r="M412">
        <v>73.966999999999999</v>
      </c>
      <c r="N412">
        <v>92.41</v>
      </c>
      <c r="O412">
        <v>184.82</v>
      </c>
      <c r="P412">
        <v>-110.85299999999999</v>
      </c>
      <c r="Q412">
        <v>-149.868184460637</v>
      </c>
    </row>
    <row r="413" spans="1:17" x14ac:dyDescent="0.25">
      <c r="A413">
        <v>10412</v>
      </c>
      <c r="B413" s="1">
        <v>46069</v>
      </c>
      <c r="C413">
        <v>3073</v>
      </c>
      <c r="D413" t="s">
        <v>21</v>
      </c>
      <c r="E413" t="s">
        <v>24</v>
      </c>
      <c r="F413" t="s">
        <v>33</v>
      </c>
      <c r="G413" t="s">
        <v>20</v>
      </c>
      <c r="H413">
        <v>7</v>
      </c>
      <c r="I413">
        <v>17.43</v>
      </c>
      <c r="J413">
        <v>10</v>
      </c>
      <c r="K413">
        <v>122.009999999999</v>
      </c>
      <c r="L413">
        <v>12.201000000000001</v>
      </c>
      <c r="M413">
        <v>109.809</v>
      </c>
      <c r="N413">
        <v>63.91</v>
      </c>
      <c r="O413">
        <v>447.37</v>
      </c>
      <c r="P413">
        <v>-337.56099999999998</v>
      </c>
      <c r="Q413">
        <v>-307.40740740740699</v>
      </c>
    </row>
    <row r="414" spans="1:17" x14ac:dyDescent="0.25">
      <c r="A414">
        <v>10413</v>
      </c>
      <c r="B414" s="1">
        <v>46070</v>
      </c>
      <c r="C414">
        <v>3428</v>
      </c>
      <c r="D414" t="s">
        <v>29</v>
      </c>
      <c r="E414" t="s">
        <v>24</v>
      </c>
      <c r="F414" t="s">
        <v>33</v>
      </c>
      <c r="G414" t="s">
        <v>32</v>
      </c>
      <c r="H414">
        <v>8</v>
      </c>
      <c r="I414">
        <v>82.85</v>
      </c>
      <c r="J414">
        <v>10</v>
      </c>
      <c r="K414">
        <v>662.8</v>
      </c>
      <c r="L414">
        <v>66.28</v>
      </c>
      <c r="M414">
        <v>596.52</v>
      </c>
      <c r="N414">
        <v>103.81</v>
      </c>
      <c r="O414">
        <v>830.48</v>
      </c>
      <c r="P414">
        <v>-233.96</v>
      </c>
      <c r="Q414">
        <v>-39.220814054851402</v>
      </c>
    </row>
    <row r="415" spans="1:17" x14ac:dyDescent="0.25">
      <c r="A415">
        <v>10414</v>
      </c>
      <c r="B415" s="1">
        <v>46071</v>
      </c>
      <c r="C415">
        <v>3695</v>
      </c>
      <c r="D415" t="s">
        <v>23</v>
      </c>
      <c r="E415" t="s">
        <v>24</v>
      </c>
      <c r="F415" t="s">
        <v>25</v>
      </c>
      <c r="G415" t="s">
        <v>32</v>
      </c>
      <c r="H415">
        <v>1</v>
      </c>
      <c r="I415">
        <v>41.33</v>
      </c>
      <c r="J415">
        <v>15</v>
      </c>
      <c r="K415">
        <v>41.33</v>
      </c>
      <c r="L415">
        <v>6.1994999999999996</v>
      </c>
      <c r="M415">
        <v>35.130499999999998</v>
      </c>
      <c r="N415">
        <v>114.66</v>
      </c>
      <c r="O415">
        <v>114.66</v>
      </c>
      <c r="P415">
        <v>-79.529499999999999</v>
      </c>
      <c r="Q415">
        <v>-226.38305745719501</v>
      </c>
    </row>
    <row r="416" spans="1:17" x14ac:dyDescent="0.25">
      <c r="A416">
        <v>10415</v>
      </c>
      <c r="B416" s="1">
        <v>46072</v>
      </c>
      <c r="C416">
        <v>3295</v>
      </c>
      <c r="D416" t="s">
        <v>17</v>
      </c>
      <c r="E416" t="s">
        <v>18</v>
      </c>
      <c r="F416" t="s">
        <v>19</v>
      </c>
      <c r="G416" t="s">
        <v>27</v>
      </c>
      <c r="H416">
        <v>7</v>
      </c>
      <c r="I416">
        <v>203.96</v>
      </c>
      <c r="J416">
        <v>5</v>
      </c>
      <c r="K416">
        <v>1427.72</v>
      </c>
      <c r="L416">
        <v>71.385999999999996</v>
      </c>
      <c r="M416">
        <v>1356.3340000000001</v>
      </c>
      <c r="N416">
        <v>104.56</v>
      </c>
      <c r="O416">
        <v>731.92</v>
      </c>
      <c r="P416">
        <v>624.41399999999999</v>
      </c>
      <c r="Q416">
        <v>46.036890618387503</v>
      </c>
    </row>
    <row r="417" spans="1:17" x14ac:dyDescent="0.25">
      <c r="A417">
        <v>10416</v>
      </c>
      <c r="B417" s="1">
        <v>46073</v>
      </c>
      <c r="C417">
        <v>3206</v>
      </c>
      <c r="D417" t="s">
        <v>21</v>
      </c>
      <c r="E417" t="s">
        <v>24</v>
      </c>
      <c r="F417" t="s">
        <v>19</v>
      </c>
      <c r="G417" t="s">
        <v>22</v>
      </c>
      <c r="H417">
        <v>2</v>
      </c>
      <c r="I417">
        <v>130.84</v>
      </c>
      <c r="J417">
        <v>10</v>
      </c>
      <c r="K417">
        <v>261.68</v>
      </c>
      <c r="L417">
        <v>26.167999999999999</v>
      </c>
      <c r="M417">
        <v>235.512</v>
      </c>
      <c r="N417">
        <v>35.61</v>
      </c>
      <c r="O417">
        <v>71.22</v>
      </c>
      <c r="P417">
        <v>164.292</v>
      </c>
      <c r="Q417">
        <v>69.759502700499297</v>
      </c>
    </row>
    <row r="418" spans="1:17" x14ac:dyDescent="0.25">
      <c r="A418">
        <v>10417</v>
      </c>
      <c r="B418" s="1">
        <v>46074</v>
      </c>
      <c r="C418">
        <v>3966</v>
      </c>
      <c r="D418" t="s">
        <v>21</v>
      </c>
      <c r="E418" t="s">
        <v>18</v>
      </c>
      <c r="F418" t="s">
        <v>26</v>
      </c>
      <c r="G418" t="s">
        <v>30</v>
      </c>
      <c r="H418">
        <v>2</v>
      </c>
      <c r="I418">
        <v>147.21</v>
      </c>
      <c r="J418">
        <v>20</v>
      </c>
      <c r="K418">
        <v>294.42</v>
      </c>
      <c r="L418">
        <v>58.884</v>
      </c>
      <c r="M418">
        <v>235.536</v>
      </c>
      <c r="N418">
        <v>8.0299999999999994</v>
      </c>
      <c r="O418">
        <v>16.059999999999999</v>
      </c>
      <c r="P418">
        <v>219.476</v>
      </c>
      <c r="Q418">
        <v>93.181509408328196</v>
      </c>
    </row>
    <row r="419" spans="1:17" x14ac:dyDescent="0.25">
      <c r="A419">
        <v>10418</v>
      </c>
      <c r="B419" s="1">
        <v>46075</v>
      </c>
      <c r="C419">
        <v>3190</v>
      </c>
      <c r="D419" t="s">
        <v>23</v>
      </c>
      <c r="E419" t="s">
        <v>24</v>
      </c>
      <c r="F419" t="s">
        <v>33</v>
      </c>
      <c r="G419" t="s">
        <v>27</v>
      </c>
      <c r="H419">
        <v>1</v>
      </c>
      <c r="I419">
        <v>120.22</v>
      </c>
      <c r="J419">
        <v>0</v>
      </c>
      <c r="K419">
        <v>120.22</v>
      </c>
      <c r="L419">
        <v>0</v>
      </c>
      <c r="M419">
        <v>120.22</v>
      </c>
      <c r="N419">
        <v>50.95</v>
      </c>
      <c r="O419">
        <v>50.95</v>
      </c>
      <c r="P419">
        <v>69.27</v>
      </c>
      <c r="Q419">
        <v>57.6193644984195</v>
      </c>
    </row>
    <row r="420" spans="1:17" x14ac:dyDescent="0.25">
      <c r="A420">
        <v>10419</v>
      </c>
      <c r="B420" s="1">
        <v>46076</v>
      </c>
      <c r="C420">
        <v>3386</v>
      </c>
      <c r="D420" t="s">
        <v>17</v>
      </c>
      <c r="E420" t="s">
        <v>24</v>
      </c>
      <c r="F420" t="s">
        <v>19</v>
      </c>
      <c r="G420" t="s">
        <v>31</v>
      </c>
      <c r="H420">
        <v>1</v>
      </c>
      <c r="I420">
        <v>168.83</v>
      </c>
      <c r="J420">
        <v>10</v>
      </c>
      <c r="K420">
        <v>168.83</v>
      </c>
      <c r="L420">
        <v>16.882999999999999</v>
      </c>
      <c r="M420">
        <v>151.947</v>
      </c>
      <c r="N420">
        <v>68.03</v>
      </c>
      <c r="O420">
        <v>68.03</v>
      </c>
      <c r="P420">
        <v>83.917000000000002</v>
      </c>
      <c r="Q420">
        <v>55.227809696802098</v>
      </c>
    </row>
    <row r="421" spans="1:17" x14ac:dyDescent="0.25">
      <c r="A421">
        <v>10420</v>
      </c>
      <c r="B421" s="1">
        <v>46077</v>
      </c>
      <c r="C421">
        <v>3549</v>
      </c>
      <c r="D421" t="s">
        <v>21</v>
      </c>
      <c r="E421" t="s">
        <v>18</v>
      </c>
      <c r="F421" t="s">
        <v>26</v>
      </c>
      <c r="G421" t="s">
        <v>27</v>
      </c>
      <c r="H421">
        <v>4</v>
      </c>
      <c r="I421">
        <v>135.77000000000001</v>
      </c>
      <c r="J421">
        <v>15</v>
      </c>
      <c r="K421">
        <v>543.08000000000004</v>
      </c>
      <c r="L421">
        <v>81.462000000000003</v>
      </c>
      <c r="M421">
        <v>461.61799999999999</v>
      </c>
      <c r="N421">
        <v>125.54</v>
      </c>
      <c r="O421">
        <v>502.16</v>
      </c>
      <c r="P421">
        <v>-40.541999999999902</v>
      </c>
      <c r="Q421">
        <v>-8.7825864675987404</v>
      </c>
    </row>
    <row r="422" spans="1:17" x14ac:dyDescent="0.25">
      <c r="A422">
        <v>10421</v>
      </c>
      <c r="B422" s="1">
        <v>46078</v>
      </c>
      <c r="C422">
        <v>3342</v>
      </c>
      <c r="D422" t="s">
        <v>29</v>
      </c>
      <c r="E422" t="s">
        <v>18</v>
      </c>
      <c r="F422" t="s">
        <v>19</v>
      </c>
      <c r="G422" t="s">
        <v>32</v>
      </c>
      <c r="H422">
        <v>5</v>
      </c>
      <c r="I422">
        <v>234.23</v>
      </c>
      <c r="J422">
        <v>20</v>
      </c>
      <c r="K422">
        <v>1171.1499999999901</v>
      </c>
      <c r="L422">
        <v>234.23</v>
      </c>
      <c r="M422">
        <v>936.91999999999905</v>
      </c>
      <c r="N422">
        <v>17.809999999999999</v>
      </c>
      <c r="O422">
        <v>89.05</v>
      </c>
      <c r="P422">
        <v>847.86999999999898</v>
      </c>
      <c r="Q422">
        <v>90.495453187038393</v>
      </c>
    </row>
    <row r="423" spans="1:17" x14ac:dyDescent="0.25">
      <c r="A423">
        <v>10422</v>
      </c>
      <c r="B423" s="1">
        <v>46079</v>
      </c>
      <c r="C423">
        <v>3241</v>
      </c>
      <c r="D423" t="s">
        <v>29</v>
      </c>
      <c r="E423" t="s">
        <v>24</v>
      </c>
      <c r="F423" t="s">
        <v>33</v>
      </c>
      <c r="G423" t="s">
        <v>22</v>
      </c>
      <c r="H423">
        <v>8</v>
      </c>
      <c r="I423">
        <v>212</v>
      </c>
      <c r="J423">
        <v>15</v>
      </c>
      <c r="K423">
        <v>1696</v>
      </c>
      <c r="L423">
        <v>254.39999999999901</v>
      </c>
      <c r="M423">
        <v>1441.6</v>
      </c>
      <c r="N423">
        <v>127.33</v>
      </c>
      <c r="O423">
        <v>1018.64</v>
      </c>
      <c r="P423">
        <v>422.95999999999901</v>
      </c>
      <c r="Q423">
        <v>29.339622641509401</v>
      </c>
    </row>
    <row r="424" spans="1:17" x14ac:dyDescent="0.25">
      <c r="A424">
        <v>10423</v>
      </c>
      <c r="B424" s="1">
        <v>46080</v>
      </c>
      <c r="C424">
        <v>3814</v>
      </c>
      <c r="D424" t="s">
        <v>29</v>
      </c>
      <c r="E424" t="s">
        <v>24</v>
      </c>
      <c r="F424" t="s">
        <v>26</v>
      </c>
      <c r="G424" t="s">
        <v>32</v>
      </c>
      <c r="H424">
        <v>8</v>
      </c>
      <c r="I424">
        <v>54.55</v>
      </c>
      <c r="J424">
        <v>10</v>
      </c>
      <c r="K424">
        <v>436.4</v>
      </c>
      <c r="L424">
        <v>43.64</v>
      </c>
      <c r="M424">
        <v>392.76</v>
      </c>
      <c r="N424">
        <v>13.62</v>
      </c>
      <c r="O424">
        <v>108.96</v>
      </c>
      <c r="P424">
        <v>283.8</v>
      </c>
      <c r="Q424">
        <v>72.257867399938903</v>
      </c>
    </row>
    <row r="425" spans="1:17" x14ac:dyDescent="0.25">
      <c r="A425">
        <v>10424</v>
      </c>
      <c r="B425" s="1">
        <v>46081</v>
      </c>
      <c r="C425">
        <v>3265</v>
      </c>
      <c r="D425" t="s">
        <v>17</v>
      </c>
      <c r="E425" t="s">
        <v>24</v>
      </c>
      <c r="F425" t="s">
        <v>19</v>
      </c>
      <c r="G425" t="s">
        <v>32</v>
      </c>
      <c r="H425">
        <v>8</v>
      </c>
      <c r="I425">
        <v>219.66</v>
      </c>
      <c r="J425">
        <v>10</v>
      </c>
      <c r="K425">
        <v>1757.28</v>
      </c>
      <c r="L425">
        <v>175.72800000000001</v>
      </c>
      <c r="M425">
        <v>1581.5519999999999</v>
      </c>
      <c r="N425">
        <v>50.52</v>
      </c>
      <c r="O425">
        <v>404.16</v>
      </c>
      <c r="P425">
        <v>1177.39199999999</v>
      </c>
      <c r="Q425">
        <v>74.445354942486802</v>
      </c>
    </row>
    <row r="426" spans="1:17" x14ac:dyDescent="0.25">
      <c r="A426">
        <v>10425</v>
      </c>
      <c r="B426" s="1">
        <v>46082</v>
      </c>
      <c r="C426">
        <v>3675</v>
      </c>
      <c r="D426" t="s">
        <v>29</v>
      </c>
      <c r="E426" t="s">
        <v>24</v>
      </c>
      <c r="F426" t="s">
        <v>19</v>
      </c>
      <c r="G426" t="s">
        <v>27</v>
      </c>
      <c r="H426">
        <v>2</v>
      </c>
      <c r="I426">
        <v>122.67</v>
      </c>
      <c r="J426">
        <v>0</v>
      </c>
      <c r="K426">
        <v>245.34</v>
      </c>
      <c r="L426">
        <v>0</v>
      </c>
      <c r="M426">
        <v>245.34</v>
      </c>
      <c r="N426">
        <v>63.59</v>
      </c>
      <c r="O426">
        <v>127.18</v>
      </c>
      <c r="P426">
        <v>118.16</v>
      </c>
      <c r="Q426">
        <v>48.161734735469103</v>
      </c>
    </row>
    <row r="427" spans="1:17" x14ac:dyDescent="0.25">
      <c r="A427">
        <v>10426</v>
      </c>
      <c r="B427" s="1">
        <v>46083</v>
      </c>
      <c r="C427">
        <v>3527</v>
      </c>
      <c r="D427" t="s">
        <v>21</v>
      </c>
      <c r="E427" t="s">
        <v>24</v>
      </c>
      <c r="F427" t="s">
        <v>26</v>
      </c>
      <c r="G427" t="s">
        <v>27</v>
      </c>
      <c r="H427">
        <v>1</v>
      </c>
      <c r="I427">
        <v>242.37</v>
      </c>
      <c r="J427">
        <v>5</v>
      </c>
      <c r="K427">
        <v>242.37</v>
      </c>
      <c r="L427">
        <v>12.118499999999999</v>
      </c>
      <c r="M427">
        <v>230.25149999999999</v>
      </c>
      <c r="N427">
        <v>140.1</v>
      </c>
      <c r="O427">
        <v>140.1</v>
      </c>
      <c r="P427">
        <v>90.151499999999999</v>
      </c>
      <c r="Q427">
        <v>39.153490856737001</v>
      </c>
    </row>
    <row r="428" spans="1:17" x14ac:dyDescent="0.25">
      <c r="A428">
        <v>10427</v>
      </c>
      <c r="B428" s="1">
        <v>46084</v>
      </c>
      <c r="C428">
        <v>3916</v>
      </c>
      <c r="D428" t="s">
        <v>29</v>
      </c>
      <c r="E428" t="s">
        <v>24</v>
      </c>
      <c r="F428" t="s">
        <v>26</v>
      </c>
      <c r="G428" t="s">
        <v>20</v>
      </c>
      <c r="H428">
        <v>4</v>
      </c>
      <c r="I428">
        <v>153.54</v>
      </c>
      <c r="J428">
        <v>0</v>
      </c>
      <c r="K428">
        <v>614.16</v>
      </c>
      <c r="L428">
        <v>0</v>
      </c>
      <c r="M428">
        <v>614.16</v>
      </c>
      <c r="N428">
        <v>142.61000000000001</v>
      </c>
      <c r="O428">
        <v>570.44000000000005</v>
      </c>
      <c r="P428">
        <v>43.719999999999899</v>
      </c>
      <c r="Q428">
        <v>7.1186661456297902</v>
      </c>
    </row>
    <row r="429" spans="1:17" x14ac:dyDescent="0.25">
      <c r="A429">
        <v>10428</v>
      </c>
      <c r="B429" s="1">
        <v>46085</v>
      </c>
      <c r="C429">
        <v>3672</v>
      </c>
      <c r="D429" t="s">
        <v>29</v>
      </c>
      <c r="E429" t="s">
        <v>24</v>
      </c>
      <c r="F429" t="s">
        <v>19</v>
      </c>
      <c r="G429" t="s">
        <v>31</v>
      </c>
      <c r="H429">
        <v>6</v>
      </c>
      <c r="I429">
        <v>10.02</v>
      </c>
      <c r="J429">
        <v>15</v>
      </c>
      <c r="K429">
        <v>60.12</v>
      </c>
      <c r="L429">
        <v>9.01799999999999</v>
      </c>
      <c r="M429">
        <v>51.101999999999997</v>
      </c>
      <c r="N429">
        <v>10.9</v>
      </c>
      <c r="O429">
        <v>65.400000000000006</v>
      </c>
      <c r="P429">
        <v>-14.298</v>
      </c>
      <c r="Q429">
        <v>-27.979335446753499</v>
      </c>
    </row>
    <row r="430" spans="1:17" x14ac:dyDescent="0.25">
      <c r="A430">
        <v>10429</v>
      </c>
      <c r="B430" s="1">
        <v>46086</v>
      </c>
      <c r="C430">
        <v>3867</v>
      </c>
      <c r="D430" t="s">
        <v>23</v>
      </c>
      <c r="E430" t="s">
        <v>24</v>
      </c>
      <c r="F430" t="s">
        <v>26</v>
      </c>
      <c r="G430" t="s">
        <v>31</v>
      </c>
      <c r="H430">
        <v>8</v>
      </c>
      <c r="I430">
        <v>12.15</v>
      </c>
      <c r="J430">
        <v>15</v>
      </c>
      <c r="K430">
        <v>97.2</v>
      </c>
      <c r="L430">
        <v>14.58</v>
      </c>
      <c r="M430">
        <v>82.62</v>
      </c>
      <c r="N430">
        <v>33.409999999999997</v>
      </c>
      <c r="O430">
        <v>267.27999999999997</v>
      </c>
      <c r="P430">
        <v>-184.659999999999</v>
      </c>
      <c r="Q430">
        <v>-223.50520455095599</v>
      </c>
    </row>
    <row r="431" spans="1:17" x14ac:dyDescent="0.25">
      <c r="A431">
        <v>10430</v>
      </c>
      <c r="B431" s="1">
        <v>46087</v>
      </c>
      <c r="C431">
        <v>3917</v>
      </c>
      <c r="D431" t="s">
        <v>17</v>
      </c>
      <c r="E431" t="s">
        <v>24</v>
      </c>
      <c r="F431" t="s">
        <v>26</v>
      </c>
      <c r="G431" t="s">
        <v>22</v>
      </c>
      <c r="H431">
        <v>9</v>
      </c>
      <c r="I431">
        <v>74.72</v>
      </c>
      <c r="J431">
        <v>0</v>
      </c>
      <c r="K431">
        <v>672.48</v>
      </c>
      <c r="L431">
        <v>0</v>
      </c>
      <c r="M431">
        <v>672.48</v>
      </c>
      <c r="N431">
        <v>69.989999999999995</v>
      </c>
      <c r="O431">
        <v>629.91</v>
      </c>
      <c r="P431">
        <v>42.57</v>
      </c>
      <c r="Q431">
        <v>6.3302997858672398</v>
      </c>
    </row>
    <row r="432" spans="1:17" x14ac:dyDescent="0.25">
      <c r="A432">
        <v>10431</v>
      </c>
      <c r="B432" s="1">
        <v>46088</v>
      </c>
      <c r="C432">
        <v>3198</v>
      </c>
      <c r="D432" t="s">
        <v>17</v>
      </c>
      <c r="E432" t="s">
        <v>24</v>
      </c>
      <c r="F432" t="s">
        <v>25</v>
      </c>
      <c r="G432" t="s">
        <v>30</v>
      </c>
      <c r="H432">
        <v>9</v>
      </c>
      <c r="I432">
        <v>207.58</v>
      </c>
      <c r="J432">
        <v>10</v>
      </c>
      <c r="K432">
        <v>1868.22</v>
      </c>
      <c r="L432">
        <v>186.822</v>
      </c>
      <c r="M432">
        <v>1681.3979999999999</v>
      </c>
      <c r="N432">
        <v>44.5</v>
      </c>
      <c r="O432">
        <v>400.5</v>
      </c>
      <c r="P432">
        <v>1280.8979999999999</v>
      </c>
      <c r="Q432">
        <v>76.180535482973099</v>
      </c>
    </row>
    <row r="433" spans="1:17" x14ac:dyDescent="0.25">
      <c r="A433">
        <v>10432</v>
      </c>
      <c r="B433" s="1">
        <v>46089</v>
      </c>
      <c r="C433">
        <v>3468</v>
      </c>
      <c r="D433" t="s">
        <v>17</v>
      </c>
      <c r="E433" t="s">
        <v>18</v>
      </c>
      <c r="F433" t="s">
        <v>25</v>
      </c>
      <c r="G433" t="s">
        <v>20</v>
      </c>
      <c r="H433">
        <v>7</v>
      </c>
      <c r="I433">
        <v>142.82</v>
      </c>
      <c r="J433">
        <v>15</v>
      </c>
      <c r="K433">
        <v>999.74</v>
      </c>
      <c r="L433">
        <v>149.96099999999899</v>
      </c>
      <c r="M433">
        <v>849.779</v>
      </c>
      <c r="N433">
        <v>143.24</v>
      </c>
      <c r="O433">
        <v>1002.68</v>
      </c>
      <c r="P433">
        <v>-152.90100000000001</v>
      </c>
      <c r="Q433">
        <v>-17.993031129270001</v>
      </c>
    </row>
    <row r="434" spans="1:17" x14ac:dyDescent="0.25">
      <c r="A434">
        <v>10433</v>
      </c>
      <c r="B434" s="1">
        <v>46090</v>
      </c>
      <c r="C434">
        <v>3896</v>
      </c>
      <c r="D434" t="s">
        <v>23</v>
      </c>
      <c r="E434" t="s">
        <v>24</v>
      </c>
      <c r="F434" t="s">
        <v>19</v>
      </c>
      <c r="G434" t="s">
        <v>32</v>
      </c>
      <c r="H434">
        <v>1</v>
      </c>
      <c r="I434">
        <v>29.68</v>
      </c>
      <c r="J434">
        <v>10</v>
      </c>
      <c r="K434">
        <v>29.68</v>
      </c>
      <c r="L434">
        <v>2.968</v>
      </c>
      <c r="M434">
        <v>26.712</v>
      </c>
      <c r="N434">
        <v>93.76</v>
      </c>
      <c r="O434">
        <v>93.76</v>
      </c>
      <c r="P434">
        <v>-67.048000000000002</v>
      </c>
      <c r="Q434">
        <v>-251.00329439952</v>
      </c>
    </row>
    <row r="435" spans="1:17" x14ac:dyDescent="0.25">
      <c r="A435">
        <v>10434</v>
      </c>
      <c r="B435" s="1">
        <v>46091</v>
      </c>
      <c r="C435">
        <v>3212</v>
      </c>
      <c r="D435" t="s">
        <v>17</v>
      </c>
      <c r="E435" t="s">
        <v>18</v>
      </c>
      <c r="F435" t="s">
        <v>19</v>
      </c>
      <c r="G435" t="s">
        <v>30</v>
      </c>
      <c r="H435">
        <v>9</v>
      </c>
      <c r="I435">
        <v>128.07</v>
      </c>
      <c r="J435">
        <v>20</v>
      </c>
      <c r="K435">
        <v>1152.6299999999901</v>
      </c>
      <c r="L435">
        <v>230.52599999999899</v>
      </c>
      <c r="M435">
        <v>922.10399999999902</v>
      </c>
      <c r="N435">
        <v>52.35</v>
      </c>
      <c r="O435">
        <v>471.15</v>
      </c>
      <c r="P435">
        <v>450.95399999999898</v>
      </c>
      <c r="Q435">
        <v>48.904895760131097</v>
      </c>
    </row>
    <row r="436" spans="1:17" x14ac:dyDescent="0.25">
      <c r="A436">
        <v>10435</v>
      </c>
      <c r="B436" s="1">
        <v>46092</v>
      </c>
      <c r="C436">
        <v>3545</v>
      </c>
      <c r="D436" t="s">
        <v>23</v>
      </c>
      <c r="E436" t="s">
        <v>24</v>
      </c>
      <c r="F436" t="s">
        <v>26</v>
      </c>
      <c r="G436" t="s">
        <v>22</v>
      </c>
      <c r="H436">
        <v>6</v>
      </c>
      <c r="I436">
        <v>60.95</v>
      </c>
      <c r="J436">
        <v>15</v>
      </c>
      <c r="K436">
        <v>365.7</v>
      </c>
      <c r="L436">
        <v>54.854999999999997</v>
      </c>
      <c r="M436">
        <v>310.84500000000003</v>
      </c>
      <c r="N436">
        <v>91.96</v>
      </c>
      <c r="O436">
        <v>551.76</v>
      </c>
      <c r="P436">
        <v>-240.914999999999</v>
      </c>
      <c r="Q436">
        <v>-77.503257250398093</v>
      </c>
    </row>
    <row r="437" spans="1:17" x14ac:dyDescent="0.25">
      <c r="A437">
        <v>10436</v>
      </c>
      <c r="B437" s="1">
        <v>46093</v>
      </c>
      <c r="C437">
        <v>3533</v>
      </c>
      <c r="D437" t="s">
        <v>21</v>
      </c>
      <c r="E437" t="s">
        <v>24</v>
      </c>
      <c r="F437" t="s">
        <v>33</v>
      </c>
      <c r="G437" t="s">
        <v>20</v>
      </c>
      <c r="H437">
        <v>4</v>
      </c>
      <c r="I437">
        <v>22.98</v>
      </c>
      <c r="J437">
        <v>20</v>
      </c>
      <c r="K437">
        <v>91.92</v>
      </c>
      <c r="L437">
        <v>18.384</v>
      </c>
      <c r="M437">
        <v>73.536000000000001</v>
      </c>
      <c r="N437">
        <v>102.79</v>
      </c>
      <c r="O437">
        <v>411.16</v>
      </c>
      <c r="P437">
        <v>-337.62400000000002</v>
      </c>
      <c r="Q437">
        <v>-459.12750217580498</v>
      </c>
    </row>
    <row r="438" spans="1:17" x14ac:dyDescent="0.25">
      <c r="A438">
        <v>10437</v>
      </c>
      <c r="B438" s="1">
        <v>46094</v>
      </c>
      <c r="C438">
        <v>3834</v>
      </c>
      <c r="D438" t="s">
        <v>21</v>
      </c>
      <c r="E438" t="s">
        <v>18</v>
      </c>
      <c r="F438" t="s">
        <v>26</v>
      </c>
      <c r="G438" t="s">
        <v>32</v>
      </c>
      <c r="H438">
        <v>2</v>
      </c>
      <c r="I438">
        <v>96.01</v>
      </c>
      <c r="J438">
        <v>10</v>
      </c>
      <c r="K438">
        <v>192.02</v>
      </c>
      <c r="L438">
        <v>19.202000000000002</v>
      </c>
      <c r="M438">
        <v>172.81800000000001</v>
      </c>
      <c r="N438">
        <v>129.21</v>
      </c>
      <c r="O438">
        <v>258.42</v>
      </c>
      <c r="P438">
        <v>-85.602000000000004</v>
      </c>
      <c r="Q438">
        <v>-49.533034753324301</v>
      </c>
    </row>
    <row r="439" spans="1:17" x14ac:dyDescent="0.25">
      <c r="A439">
        <v>10438</v>
      </c>
      <c r="B439" s="1">
        <v>46095</v>
      </c>
      <c r="C439">
        <v>3267</v>
      </c>
      <c r="D439" t="s">
        <v>21</v>
      </c>
      <c r="E439" t="s">
        <v>18</v>
      </c>
      <c r="F439" t="s">
        <v>33</v>
      </c>
      <c r="G439" t="s">
        <v>27</v>
      </c>
      <c r="H439">
        <v>2</v>
      </c>
      <c r="I439">
        <v>54.08</v>
      </c>
      <c r="J439">
        <v>5</v>
      </c>
      <c r="K439">
        <v>108.16</v>
      </c>
      <c r="L439">
        <v>5.4080000000000004</v>
      </c>
      <c r="M439">
        <v>102.752</v>
      </c>
      <c r="N439">
        <v>133.69</v>
      </c>
      <c r="O439">
        <v>267.38</v>
      </c>
      <c r="P439">
        <v>-164.62799999999999</v>
      </c>
      <c r="Q439">
        <v>-160.21877919651101</v>
      </c>
    </row>
    <row r="440" spans="1:17" x14ac:dyDescent="0.25">
      <c r="A440">
        <v>10439</v>
      </c>
      <c r="B440" s="1">
        <v>46096</v>
      </c>
      <c r="C440">
        <v>3303</v>
      </c>
      <c r="D440" t="s">
        <v>23</v>
      </c>
      <c r="E440" t="s">
        <v>18</v>
      </c>
      <c r="F440" t="s">
        <v>33</v>
      </c>
      <c r="G440" t="s">
        <v>28</v>
      </c>
      <c r="H440">
        <v>8</v>
      </c>
      <c r="I440">
        <v>53.37</v>
      </c>
      <c r="J440">
        <v>15</v>
      </c>
      <c r="K440">
        <v>426.96</v>
      </c>
      <c r="L440">
        <v>64.043999999999997</v>
      </c>
      <c r="M440">
        <v>362.916</v>
      </c>
      <c r="N440">
        <v>66.08</v>
      </c>
      <c r="O440">
        <v>528.64</v>
      </c>
      <c r="P440">
        <v>-165.72399999999999</v>
      </c>
      <c r="Q440">
        <v>-45.664561496324197</v>
      </c>
    </row>
    <row r="441" spans="1:17" x14ac:dyDescent="0.25">
      <c r="A441">
        <v>10440</v>
      </c>
      <c r="B441" s="1">
        <v>46097</v>
      </c>
      <c r="C441">
        <v>3139</v>
      </c>
      <c r="D441" t="s">
        <v>17</v>
      </c>
      <c r="E441" t="s">
        <v>24</v>
      </c>
      <c r="F441" t="s">
        <v>25</v>
      </c>
      <c r="G441" t="s">
        <v>31</v>
      </c>
      <c r="H441">
        <v>5</v>
      </c>
      <c r="I441">
        <v>136.07</v>
      </c>
      <c r="J441">
        <v>15</v>
      </c>
      <c r="K441">
        <v>680.349999999999</v>
      </c>
      <c r="L441">
        <v>102.052499999999</v>
      </c>
      <c r="M441">
        <v>578.29749999999899</v>
      </c>
      <c r="N441">
        <v>114.96</v>
      </c>
      <c r="O441">
        <v>574.79999999999995</v>
      </c>
      <c r="P441">
        <v>3.4974999999999401</v>
      </c>
      <c r="Q441">
        <v>0.60479251596279504</v>
      </c>
    </row>
    <row r="442" spans="1:17" x14ac:dyDescent="0.25">
      <c r="A442">
        <v>10441</v>
      </c>
      <c r="B442" s="1">
        <v>46098</v>
      </c>
      <c r="C442">
        <v>3036</v>
      </c>
      <c r="D442" t="s">
        <v>21</v>
      </c>
      <c r="E442" t="s">
        <v>24</v>
      </c>
      <c r="F442" t="s">
        <v>19</v>
      </c>
      <c r="G442" t="s">
        <v>28</v>
      </c>
      <c r="H442">
        <v>5</v>
      </c>
      <c r="I442">
        <v>188.95</v>
      </c>
      <c r="J442">
        <v>20</v>
      </c>
      <c r="K442">
        <v>944.75</v>
      </c>
      <c r="L442">
        <v>188.95</v>
      </c>
      <c r="M442">
        <v>755.8</v>
      </c>
      <c r="N442">
        <v>146.16</v>
      </c>
      <c r="O442">
        <v>730.8</v>
      </c>
      <c r="P442">
        <v>25</v>
      </c>
      <c r="Q442">
        <v>3.3077533739084402</v>
      </c>
    </row>
    <row r="443" spans="1:17" x14ac:dyDescent="0.25">
      <c r="A443">
        <v>10442</v>
      </c>
      <c r="B443" s="1">
        <v>46099</v>
      </c>
      <c r="C443">
        <v>3456</v>
      </c>
      <c r="D443" t="s">
        <v>29</v>
      </c>
      <c r="E443" t="s">
        <v>18</v>
      </c>
      <c r="F443" t="s">
        <v>26</v>
      </c>
      <c r="G443" t="s">
        <v>32</v>
      </c>
      <c r="H443">
        <v>9</v>
      </c>
      <c r="I443">
        <v>248.42</v>
      </c>
      <c r="J443">
        <v>20</v>
      </c>
      <c r="K443">
        <v>2235.7799999999902</v>
      </c>
      <c r="L443">
        <v>447.15599999999898</v>
      </c>
      <c r="M443">
        <v>1788.62399999999</v>
      </c>
      <c r="N443">
        <v>82.4</v>
      </c>
      <c r="O443">
        <v>741.6</v>
      </c>
      <c r="P443">
        <v>1047.0239999999999</v>
      </c>
      <c r="Q443">
        <v>58.5379599066097</v>
      </c>
    </row>
    <row r="444" spans="1:17" x14ac:dyDescent="0.25">
      <c r="A444">
        <v>10443</v>
      </c>
      <c r="B444" s="1">
        <v>46100</v>
      </c>
      <c r="C444">
        <v>3749</v>
      </c>
      <c r="D444" t="s">
        <v>17</v>
      </c>
      <c r="E444" t="s">
        <v>24</v>
      </c>
      <c r="F444" t="s">
        <v>33</v>
      </c>
      <c r="G444" t="s">
        <v>28</v>
      </c>
      <c r="H444">
        <v>4</v>
      </c>
      <c r="I444">
        <v>178.41</v>
      </c>
      <c r="J444">
        <v>0</v>
      </c>
      <c r="K444">
        <v>713.64</v>
      </c>
      <c r="L444">
        <v>0</v>
      </c>
      <c r="M444">
        <v>713.64</v>
      </c>
      <c r="N444">
        <v>111.08</v>
      </c>
      <c r="O444">
        <v>444.32</v>
      </c>
      <c r="P444">
        <v>269.32</v>
      </c>
      <c r="Q444">
        <v>37.738915980045903</v>
      </c>
    </row>
    <row r="445" spans="1:17" x14ac:dyDescent="0.25">
      <c r="A445">
        <v>10444</v>
      </c>
      <c r="B445" s="1">
        <v>46101</v>
      </c>
      <c r="C445">
        <v>3683</v>
      </c>
      <c r="D445" t="s">
        <v>17</v>
      </c>
      <c r="E445" t="s">
        <v>18</v>
      </c>
      <c r="F445" t="s">
        <v>25</v>
      </c>
      <c r="G445" t="s">
        <v>27</v>
      </c>
      <c r="H445">
        <v>3</v>
      </c>
      <c r="I445">
        <v>44.56</v>
      </c>
      <c r="J445">
        <v>0</v>
      </c>
      <c r="K445">
        <v>133.68</v>
      </c>
      <c r="L445">
        <v>0</v>
      </c>
      <c r="M445">
        <v>133.68</v>
      </c>
      <c r="N445">
        <v>75.88</v>
      </c>
      <c r="O445">
        <v>227.64</v>
      </c>
      <c r="P445">
        <v>-93.959999999999894</v>
      </c>
      <c r="Q445">
        <v>-70.287253141831201</v>
      </c>
    </row>
    <row r="446" spans="1:17" x14ac:dyDescent="0.25">
      <c r="A446">
        <v>10445</v>
      </c>
      <c r="B446" s="1">
        <v>46102</v>
      </c>
      <c r="C446">
        <v>3765</v>
      </c>
      <c r="D446" t="s">
        <v>23</v>
      </c>
      <c r="E446" t="s">
        <v>24</v>
      </c>
      <c r="F446" t="s">
        <v>33</v>
      </c>
      <c r="G446" t="s">
        <v>32</v>
      </c>
      <c r="H446">
        <v>1</v>
      </c>
      <c r="I446">
        <v>157.41</v>
      </c>
      <c r="J446">
        <v>10</v>
      </c>
      <c r="K446">
        <v>157.41</v>
      </c>
      <c r="L446">
        <v>15.741</v>
      </c>
      <c r="M446">
        <v>141.66899999999899</v>
      </c>
      <c r="N446">
        <v>60.48</v>
      </c>
      <c r="O446">
        <v>60.48</v>
      </c>
      <c r="P446">
        <v>81.188999999999993</v>
      </c>
      <c r="Q446">
        <v>57.3089384410139</v>
      </c>
    </row>
    <row r="447" spans="1:17" x14ac:dyDescent="0.25">
      <c r="A447">
        <v>10446</v>
      </c>
      <c r="B447" s="1">
        <v>46103</v>
      </c>
      <c r="C447">
        <v>3711</v>
      </c>
      <c r="D447" t="s">
        <v>21</v>
      </c>
      <c r="E447" t="s">
        <v>24</v>
      </c>
      <c r="F447" t="s">
        <v>19</v>
      </c>
      <c r="G447" t="s">
        <v>22</v>
      </c>
      <c r="H447">
        <v>1</v>
      </c>
      <c r="I447">
        <v>55.89</v>
      </c>
      <c r="J447">
        <v>15</v>
      </c>
      <c r="K447">
        <v>55.89</v>
      </c>
      <c r="L447">
        <v>8.3834999999999997</v>
      </c>
      <c r="M447">
        <v>47.506500000000003</v>
      </c>
      <c r="N447">
        <v>34.49</v>
      </c>
      <c r="O447">
        <v>34.49</v>
      </c>
      <c r="P447">
        <v>13.016500000000001</v>
      </c>
      <c r="Q447">
        <v>27.399408501994401</v>
      </c>
    </row>
    <row r="448" spans="1:17" x14ac:dyDescent="0.25">
      <c r="A448">
        <v>10447</v>
      </c>
      <c r="B448" s="1">
        <v>46104</v>
      </c>
      <c r="C448">
        <v>3821</v>
      </c>
      <c r="D448" t="s">
        <v>29</v>
      </c>
      <c r="E448" t="s">
        <v>24</v>
      </c>
      <c r="F448" t="s">
        <v>19</v>
      </c>
      <c r="G448" t="s">
        <v>27</v>
      </c>
      <c r="H448">
        <v>6</v>
      </c>
      <c r="I448">
        <v>90.17</v>
      </c>
      <c r="J448">
        <v>10</v>
      </c>
      <c r="K448">
        <v>541.02</v>
      </c>
      <c r="L448">
        <v>54.101999999999997</v>
      </c>
      <c r="M448">
        <v>486.91800000000001</v>
      </c>
      <c r="N448">
        <v>18.22</v>
      </c>
      <c r="O448">
        <v>109.32</v>
      </c>
      <c r="P448">
        <v>377.59800000000001</v>
      </c>
      <c r="Q448">
        <v>77.548581075252898</v>
      </c>
    </row>
    <row r="449" spans="1:17" x14ac:dyDescent="0.25">
      <c r="A449">
        <v>10448</v>
      </c>
      <c r="B449" s="1">
        <v>46105</v>
      </c>
      <c r="C449">
        <v>3775</v>
      </c>
      <c r="D449" t="s">
        <v>17</v>
      </c>
      <c r="E449" t="s">
        <v>18</v>
      </c>
      <c r="F449" t="s">
        <v>26</v>
      </c>
      <c r="G449" t="s">
        <v>30</v>
      </c>
      <c r="H449">
        <v>1</v>
      </c>
      <c r="I449">
        <v>163.62</v>
      </c>
      <c r="J449">
        <v>0</v>
      </c>
      <c r="K449">
        <v>163.62</v>
      </c>
      <c r="L449">
        <v>0</v>
      </c>
      <c r="M449">
        <v>163.62</v>
      </c>
      <c r="N449">
        <v>52.05</v>
      </c>
      <c r="O449">
        <v>52.05</v>
      </c>
      <c r="P449">
        <v>111.57</v>
      </c>
      <c r="Q449">
        <v>68.188485515218105</v>
      </c>
    </row>
    <row r="450" spans="1:17" x14ac:dyDescent="0.25">
      <c r="A450">
        <v>10449</v>
      </c>
      <c r="B450" s="1">
        <v>46106</v>
      </c>
      <c r="C450">
        <v>3405</v>
      </c>
      <c r="D450" t="s">
        <v>21</v>
      </c>
      <c r="E450" t="s">
        <v>24</v>
      </c>
      <c r="F450" t="s">
        <v>26</v>
      </c>
      <c r="G450" t="s">
        <v>20</v>
      </c>
      <c r="H450">
        <v>3</v>
      </c>
      <c r="I450">
        <v>208.83</v>
      </c>
      <c r="J450">
        <v>20</v>
      </c>
      <c r="K450">
        <v>626.49</v>
      </c>
      <c r="L450">
        <v>125.298</v>
      </c>
      <c r="M450">
        <v>501.19200000000001</v>
      </c>
      <c r="N450">
        <v>56.43</v>
      </c>
      <c r="O450">
        <v>169.29</v>
      </c>
      <c r="P450">
        <v>331.90199999999999</v>
      </c>
      <c r="Q450">
        <v>66.222525499209894</v>
      </c>
    </row>
    <row r="451" spans="1:17" x14ac:dyDescent="0.25">
      <c r="A451">
        <v>10450</v>
      </c>
      <c r="B451" s="1">
        <v>46107</v>
      </c>
      <c r="C451">
        <v>3126</v>
      </c>
      <c r="D451" t="s">
        <v>23</v>
      </c>
      <c r="E451" t="s">
        <v>24</v>
      </c>
      <c r="F451" t="s">
        <v>26</v>
      </c>
      <c r="G451" t="s">
        <v>20</v>
      </c>
      <c r="H451">
        <v>8</v>
      </c>
      <c r="I451">
        <v>95.73</v>
      </c>
      <c r="J451">
        <v>5</v>
      </c>
      <c r="K451">
        <v>765.84</v>
      </c>
      <c r="L451">
        <v>38.292000000000002</v>
      </c>
      <c r="M451">
        <v>727.548</v>
      </c>
      <c r="N451">
        <v>87.65</v>
      </c>
      <c r="O451">
        <v>701.2</v>
      </c>
      <c r="P451">
        <v>26.3479999999999</v>
      </c>
      <c r="Q451">
        <v>3.6214792700962599</v>
      </c>
    </row>
    <row r="452" spans="1:17" x14ac:dyDescent="0.25">
      <c r="A452">
        <v>10451</v>
      </c>
      <c r="B452" s="1">
        <v>46108</v>
      </c>
      <c r="C452">
        <v>3275</v>
      </c>
      <c r="D452" t="s">
        <v>29</v>
      </c>
      <c r="E452" t="s">
        <v>18</v>
      </c>
      <c r="F452" t="s">
        <v>25</v>
      </c>
      <c r="G452" t="s">
        <v>28</v>
      </c>
      <c r="H452">
        <v>5</v>
      </c>
      <c r="I452">
        <v>64.489999999999995</v>
      </c>
      <c r="J452">
        <v>10</v>
      </c>
      <c r="K452">
        <v>322.45</v>
      </c>
      <c r="L452">
        <v>32.244999999999997</v>
      </c>
      <c r="M452">
        <v>290.20499999999998</v>
      </c>
      <c r="N452">
        <v>102.23</v>
      </c>
      <c r="O452">
        <v>511.15</v>
      </c>
      <c r="P452">
        <v>-220.94499999999999</v>
      </c>
      <c r="Q452">
        <v>-76.134112093175503</v>
      </c>
    </row>
    <row r="453" spans="1:17" x14ac:dyDescent="0.25">
      <c r="A453">
        <v>10452</v>
      </c>
      <c r="B453" s="1">
        <v>46109</v>
      </c>
      <c r="C453">
        <v>3999</v>
      </c>
      <c r="D453" t="s">
        <v>29</v>
      </c>
      <c r="E453" t="s">
        <v>18</v>
      </c>
      <c r="F453" t="s">
        <v>26</v>
      </c>
      <c r="G453" t="s">
        <v>22</v>
      </c>
      <c r="H453">
        <v>6</v>
      </c>
      <c r="I453">
        <v>36.11</v>
      </c>
      <c r="J453">
        <v>15</v>
      </c>
      <c r="K453">
        <v>216.66</v>
      </c>
      <c r="L453">
        <v>32.498999999999903</v>
      </c>
      <c r="M453">
        <v>184.161</v>
      </c>
      <c r="N453">
        <v>108.06</v>
      </c>
      <c r="O453">
        <v>648.36</v>
      </c>
      <c r="P453">
        <v>-464.19900000000001</v>
      </c>
      <c r="Q453">
        <v>-252.06151139491999</v>
      </c>
    </row>
    <row r="454" spans="1:17" x14ac:dyDescent="0.25">
      <c r="A454">
        <v>10453</v>
      </c>
      <c r="B454" s="1">
        <v>46110</v>
      </c>
      <c r="C454">
        <v>3854</v>
      </c>
      <c r="D454" t="s">
        <v>21</v>
      </c>
      <c r="E454" t="s">
        <v>18</v>
      </c>
      <c r="F454" t="s">
        <v>26</v>
      </c>
      <c r="G454" t="s">
        <v>31</v>
      </c>
      <c r="H454">
        <v>8</v>
      </c>
      <c r="I454">
        <v>146.4</v>
      </c>
      <c r="J454">
        <v>5</v>
      </c>
      <c r="K454">
        <v>1171.2</v>
      </c>
      <c r="L454">
        <v>58.56</v>
      </c>
      <c r="M454">
        <v>1112.6400000000001</v>
      </c>
      <c r="N454">
        <v>116.53</v>
      </c>
      <c r="O454">
        <v>932.24</v>
      </c>
      <c r="P454">
        <v>180.4</v>
      </c>
      <c r="Q454">
        <v>16.213689962611401</v>
      </c>
    </row>
    <row r="455" spans="1:17" x14ac:dyDescent="0.25">
      <c r="A455">
        <v>10454</v>
      </c>
      <c r="B455" s="1">
        <v>46111</v>
      </c>
      <c r="C455">
        <v>3301</v>
      </c>
      <c r="D455" t="s">
        <v>23</v>
      </c>
      <c r="E455" t="s">
        <v>24</v>
      </c>
      <c r="F455" t="s">
        <v>25</v>
      </c>
      <c r="G455" t="s">
        <v>20</v>
      </c>
      <c r="H455">
        <v>9</v>
      </c>
      <c r="I455">
        <v>242</v>
      </c>
      <c r="J455">
        <v>10</v>
      </c>
      <c r="K455">
        <v>2178</v>
      </c>
      <c r="L455">
        <v>217.8</v>
      </c>
      <c r="M455">
        <v>1960.2</v>
      </c>
      <c r="N455">
        <v>87.98</v>
      </c>
      <c r="O455">
        <v>791.82</v>
      </c>
      <c r="P455">
        <v>1168.3800000000001</v>
      </c>
      <c r="Q455">
        <v>59.605142332414999</v>
      </c>
    </row>
    <row r="456" spans="1:17" x14ac:dyDescent="0.25">
      <c r="A456">
        <v>10455</v>
      </c>
      <c r="B456" s="1">
        <v>46112</v>
      </c>
      <c r="C456">
        <v>3434</v>
      </c>
      <c r="D456" t="s">
        <v>17</v>
      </c>
      <c r="E456" t="s">
        <v>24</v>
      </c>
      <c r="F456" t="s">
        <v>26</v>
      </c>
      <c r="G456" t="s">
        <v>20</v>
      </c>
      <c r="H456">
        <v>4</v>
      </c>
      <c r="I456">
        <v>140.34</v>
      </c>
      <c r="J456">
        <v>10</v>
      </c>
      <c r="K456">
        <v>561.36</v>
      </c>
      <c r="L456">
        <v>56.136000000000003</v>
      </c>
      <c r="M456">
        <v>505.22399999999999</v>
      </c>
      <c r="N456">
        <v>79.260000000000005</v>
      </c>
      <c r="O456">
        <v>317.04000000000002</v>
      </c>
      <c r="P456">
        <v>188.183999999999</v>
      </c>
      <c r="Q456">
        <v>37.247636691843603</v>
      </c>
    </row>
    <row r="457" spans="1:17" x14ac:dyDescent="0.25">
      <c r="A457">
        <v>10456</v>
      </c>
      <c r="B457" s="1">
        <v>46113</v>
      </c>
      <c r="C457">
        <v>3227</v>
      </c>
      <c r="D457" t="s">
        <v>29</v>
      </c>
      <c r="E457" t="s">
        <v>24</v>
      </c>
      <c r="F457" t="s">
        <v>33</v>
      </c>
      <c r="G457" t="s">
        <v>28</v>
      </c>
      <c r="H457">
        <v>3</v>
      </c>
      <c r="I457">
        <v>17.73</v>
      </c>
      <c r="J457">
        <v>20</v>
      </c>
      <c r="K457">
        <v>53.19</v>
      </c>
      <c r="L457">
        <v>10.638</v>
      </c>
      <c r="M457">
        <v>42.552</v>
      </c>
      <c r="N457">
        <v>93.7</v>
      </c>
      <c r="O457">
        <v>281.10000000000002</v>
      </c>
      <c r="P457">
        <v>-238.548</v>
      </c>
      <c r="Q457">
        <v>-560.60349689791303</v>
      </c>
    </row>
    <row r="458" spans="1:17" x14ac:dyDescent="0.25">
      <c r="A458">
        <v>10457</v>
      </c>
      <c r="B458" s="1">
        <v>46114</v>
      </c>
      <c r="C458">
        <v>3894</v>
      </c>
      <c r="D458" t="s">
        <v>23</v>
      </c>
      <c r="E458" t="s">
        <v>18</v>
      </c>
      <c r="F458" t="s">
        <v>33</v>
      </c>
      <c r="G458" t="s">
        <v>32</v>
      </c>
      <c r="H458">
        <v>7</v>
      </c>
      <c r="I458">
        <v>83.99</v>
      </c>
      <c r="J458">
        <v>20</v>
      </c>
      <c r="K458">
        <v>587.92999999999995</v>
      </c>
      <c r="L458">
        <v>117.586</v>
      </c>
      <c r="M458">
        <v>470.34399999999903</v>
      </c>
      <c r="N458">
        <v>106.87</v>
      </c>
      <c r="O458">
        <v>748.09</v>
      </c>
      <c r="P458">
        <v>-277.74599999999998</v>
      </c>
      <c r="Q458">
        <v>-59.0516728181926</v>
      </c>
    </row>
    <row r="459" spans="1:17" x14ac:dyDescent="0.25">
      <c r="A459">
        <v>10458</v>
      </c>
      <c r="B459" s="1">
        <v>46115</v>
      </c>
      <c r="C459">
        <v>3849</v>
      </c>
      <c r="D459" t="s">
        <v>21</v>
      </c>
      <c r="E459" t="s">
        <v>24</v>
      </c>
      <c r="F459" t="s">
        <v>25</v>
      </c>
      <c r="G459" t="s">
        <v>30</v>
      </c>
      <c r="H459">
        <v>3</v>
      </c>
      <c r="I459">
        <v>182.49</v>
      </c>
      <c r="J459">
        <v>15</v>
      </c>
      <c r="K459">
        <v>547.47</v>
      </c>
      <c r="L459">
        <v>82.120500000000007</v>
      </c>
      <c r="M459">
        <v>465.34949999999998</v>
      </c>
      <c r="N459">
        <v>127.61</v>
      </c>
      <c r="O459">
        <v>382.83</v>
      </c>
      <c r="P459">
        <v>82.519499999999994</v>
      </c>
      <c r="Q459">
        <v>17.732800830343599</v>
      </c>
    </row>
    <row r="460" spans="1:17" x14ac:dyDescent="0.25">
      <c r="A460">
        <v>10459</v>
      </c>
      <c r="B460" s="1">
        <v>46116</v>
      </c>
      <c r="C460">
        <v>3545</v>
      </c>
      <c r="D460" t="s">
        <v>17</v>
      </c>
      <c r="E460" t="s">
        <v>18</v>
      </c>
      <c r="F460" t="s">
        <v>19</v>
      </c>
      <c r="G460" t="s">
        <v>30</v>
      </c>
      <c r="H460">
        <v>1</v>
      </c>
      <c r="I460">
        <v>237.1</v>
      </c>
      <c r="J460">
        <v>10</v>
      </c>
      <c r="K460">
        <v>237.1</v>
      </c>
      <c r="L460">
        <v>23.71</v>
      </c>
      <c r="M460">
        <v>213.39</v>
      </c>
      <c r="N460">
        <v>41.52</v>
      </c>
      <c r="O460">
        <v>41.52</v>
      </c>
      <c r="P460">
        <v>171.86999999999901</v>
      </c>
      <c r="Q460">
        <v>80.542668353718497</v>
      </c>
    </row>
    <row r="461" spans="1:17" x14ac:dyDescent="0.25">
      <c r="A461">
        <v>10460</v>
      </c>
      <c r="B461" s="1">
        <v>46117</v>
      </c>
      <c r="C461">
        <v>3776</v>
      </c>
      <c r="D461" t="s">
        <v>17</v>
      </c>
      <c r="E461" t="s">
        <v>18</v>
      </c>
      <c r="F461" t="s">
        <v>33</v>
      </c>
      <c r="G461" t="s">
        <v>32</v>
      </c>
      <c r="H461">
        <v>2</v>
      </c>
      <c r="I461">
        <v>45.21</v>
      </c>
      <c r="J461">
        <v>15</v>
      </c>
      <c r="K461">
        <v>90.42</v>
      </c>
      <c r="L461">
        <v>13.563000000000001</v>
      </c>
      <c r="M461">
        <v>76.856999999999999</v>
      </c>
      <c r="N461">
        <v>129.56</v>
      </c>
      <c r="O461">
        <v>259.12</v>
      </c>
      <c r="P461">
        <v>-182.26300000000001</v>
      </c>
      <c r="Q461">
        <v>-237.14560807733801</v>
      </c>
    </row>
    <row r="462" spans="1:17" x14ac:dyDescent="0.25">
      <c r="A462">
        <v>10461</v>
      </c>
      <c r="B462" s="1">
        <v>46118</v>
      </c>
      <c r="C462">
        <v>3884</v>
      </c>
      <c r="D462" t="s">
        <v>17</v>
      </c>
      <c r="E462" t="s">
        <v>24</v>
      </c>
      <c r="F462" t="s">
        <v>19</v>
      </c>
      <c r="G462" t="s">
        <v>27</v>
      </c>
      <c r="H462">
        <v>3</v>
      </c>
      <c r="I462">
        <v>216.93</v>
      </c>
      <c r="J462">
        <v>20</v>
      </c>
      <c r="K462">
        <v>650.79</v>
      </c>
      <c r="L462">
        <v>130.15799999999999</v>
      </c>
      <c r="M462">
        <v>520.63199999999995</v>
      </c>
      <c r="N462">
        <v>33.71</v>
      </c>
      <c r="O462">
        <v>101.13</v>
      </c>
      <c r="P462">
        <v>419.50199999999899</v>
      </c>
      <c r="Q462">
        <v>80.575531277370501</v>
      </c>
    </row>
    <row r="463" spans="1:17" x14ac:dyDescent="0.25">
      <c r="A463">
        <v>10462</v>
      </c>
      <c r="B463" s="1">
        <v>46119</v>
      </c>
      <c r="C463">
        <v>3719</v>
      </c>
      <c r="D463" t="s">
        <v>21</v>
      </c>
      <c r="E463" t="s">
        <v>18</v>
      </c>
      <c r="F463" t="s">
        <v>33</v>
      </c>
      <c r="G463" t="s">
        <v>20</v>
      </c>
      <c r="H463">
        <v>4</v>
      </c>
      <c r="I463">
        <v>196.4</v>
      </c>
      <c r="J463">
        <v>20</v>
      </c>
      <c r="K463">
        <v>785.6</v>
      </c>
      <c r="L463">
        <v>157.12</v>
      </c>
      <c r="M463">
        <v>628.48</v>
      </c>
      <c r="N463">
        <v>7.52</v>
      </c>
      <c r="O463">
        <v>30.08</v>
      </c>
      <c r="P463">
        <v>598.4</v>
      </c>
      <c r="Q463">
        <v>95.213849287168998</v>
      </c>
    </row>
    <row r="464" spans="1:17" x14ac:dyDescent="0.25">
      <c r="A464">
        <v>10463</v>
      </c>
      <c r="B464" s="1">
        <v>46120</v>
      </c>
      <c r="C464">
        <v>3970</v>
      </c>
      <c r="D464" t="s">
        <v>21</v>
      </c>
      <c r="E464" t="s">
        <v>18</v>
      </c>
      <c r="F464" t="s">
        <v>19</v>
      </c>
      <c r="G464" t="s">
        <v>28</v>
      </c>
      <c r="H464">
        <v>4</v>
      </c>
      <c r="I464">
        <v>112.65</v>
      </c>
      <c r="J464">
        <v>20</v>
      </c>
      <c r="K464">
        <v>450.6</v>
      </c>
      <c r="L464">
        <v>90.12</v>
      </c>
      <c r="M464">
        <v>360.48</v>
      </c>
      <c r="N464">
        <v>120.52</v>
      </c>
      <c r="O464">
        <v>482.08</v>
      </c>
      <c r="P464">
        <v>-121.599999999999</v>
      </c>
      <c r="Q464">
        <v>-33.732800710164199</v>
      </c>
    </row>
    <row r="465" spans="1:17" x14ac:dyDescent="0.25">
      <c r="A465">
        <v>10464</v>
      </c>
      <c r="B465" s="1">
        <v>46121</v>
      </c>
      <c r="C465">
        <v>3786</v>
      </c>
      <c r="D465" t="s">
        <v>17</v>
      </c>
      <c r="E465" t="s">
        <v>24</v>
      </c>
      <c r="F465" t="s">
        <v>19</v>
      </c>
      <c r="G465" t="s">
        <v>30</v>
      </c>
      <c r="H465">
        <v>1</v>
      </c>
      <c r="I465">
        <v>234.67</v>
      </c>
      <c r="J465">
        <v>15</v>
      </c>
      <c r="K465">
        <v>234.67</v>
      </c>
      <c r="L465">
        <v>35.200499999999998</v>
      </c>
      <c r="M465">
        <v>199.46949999999899</v>
      </c>
      <c r="N465">
        <v>38.46</v>
      </c>
      <c r="O465">
        <v>38.46</v>
      </c>
      <c r="P465">
        <v>161.00949999999901</v>
      </c>
      <c r="Q465">
        <v>80.7188567675759</v>
      </c>
    </row>
    <row r="466" spans="1:17" x14ac:dyDescent="0.25">
      <c r="A466">
        <v>10465</v>
      </c>
      <c r="B466" s="1">
        <v>46122</v>
      </c>
      <c r="C466">
        <v>3987</v>
      </c>
      <c r="D466" t="s">
        <v>21</v>
      </c>
      <c r="E466" t="s">
        <v>18</v>
      </c>
      <c r="F466" t="s">
        <v>26</v>
      </c>
      <c r="G466" t="s">
        <v>28</v>
      </c>
      <c r="H466">
        <v>8</v>
      </c>
      <c r="I466">
        <v>137.75</v>
      </c>
      <c r="J466">
        <v>0</v>
      </c>
      <c r="K466">
        <v>1102</v>
      </c>
      <c r="L466">
        <v>0</v>
      </c>
      <c r="M466">
        <v>1102</v>
      </c>
      <c r="N466">
        <v>126.59</v>
      </c>
      <c r="O466">
        <v>1012.72</v>
      </c>
      <c r="P466">
        <v>89.279999999999902</v>
      </c>
      <c r="Q466">
        <v>8.1016333938293901</v>
      </c>
    </row>
    <row r="467" spans="1:17" x14ac:dyDescent="0.25">
      <c r="A467">
        <v>10466</v>
      </c>
      <c r="B467" s="1">
        <v>46123</v>
      </c>
      <c r="C467">
        <v>3443</v>
      </c>
      <c r="D467" t="s">
        <v>29</v>
      </c>
      <c r="E467" t="s">
        <v>24</v>
      </c>
      <c r="F467" t="s">
        <v>25</v>
      </c>
      <c r="G467" t="s">
        <v>22</v>
      </c>
      <c r="H467">
        <v>1</v>
      </c>
      <c r="I467">
        <v>91.89</v>
      </c>
      <c r="J467">
        <v>5</v>
      </c>
      <c r="K467">
        <v>91.89</v>
      </c>
      <c r="L467">
        <v>4.5945</v>
      </c>
      <c r="M467">
        <v>87.295500000000004</v>
      </c>
      <c r="N467">
        <v>56.73</v>
      </c>
      <c r="O467">
        <v>56.73</v>
      </c>
      <c r="P467">
        <v>30.5655</v>
      </c>
      <c r="Q467">
        <v>35.013832328126803</v>
      </c>
    </row>
    <row r="468" spans="1:17" x14ac:dyDescent="0.25">
      <c r="A468">
        <v>10467</v>
      </c>
      <c r="B468" s="1">
        <v>46124</v>
      </c>
      <c r="C468">
        <v>3593</v>
      </c>
      <c r="D468" t="s">
        <v>21</v>
      </c>
      <c r="E468" t="s">
        <v>24</v>
      </c>
      <c r="F468" t="s">
        <v>26</v>
      </c>
      <c r="G468" t="s">
        <v>31</v>
      </c>
      <c r="H468">
        <v>7</v>
      </c>
      <c r="I468">
        <v>110.62</v>
      </c>
      <c r="J468">
        <v>5</v>
      </c>
      <c r="K468">
        <v>774.34</v>
      </c>
      <c r="L468">
        <v>38.716999999999999</v>
      </c>
      <c r="M468">
        <v>735.62300000000005</v>
      </c>
      <c r="N468">
        <v>56.16</v>
      </c>
      <c r="O468">
        <v>393.12</v>
      </c>
      <c r="P468">
        <v>342.50299999999999</v>
      </c>
      <c r="Q468">
        <v>46.5595828297918</v>
      </c>
    </row>
    <row r="469" spans="1:17" x14ac:dyDescent="0.25">
      <c r="A469">
        <v>10468</v>
      </c>
      <c r="B469" s="1">
        <v>46125</v>
      </c>
      <c r="C469">
        <v>3986</v>
      </c>
      <c r="D469" t="s">
        <v>23</v>
      </c>
      <c r="E469" t="s">
        <v>24</v>
      </c>
      <c r="F469" t="s">
        <v>33</v>
      </c>
      <c r="G469" t="s">
        <v>30</v>
      </c>
      <c r="H469">
        <v>8</v>
      </c>
      <c r="I469">
        <v>68.64</v>
      </c>
      <c r="J469">
        <v>0</v>
      </c>
      <c r="K469">
        <v>549.12</v>
      </c>
      <c r="L469">
        <v>0</v>
      </c>
      <c r="M469">
        <v>549.12</v>
      </c>
      <c r="N469">
        <v>131.11000000000001</v>
      </c>
      <c r="O469">
        <v>1048.8800000000001</v>
      </c>
      <c r="P469">
        <v>-499.76</v>
      </c>
      <c r="Q469">
        <v>-91.011072261072201</v>
      </c>
    </row>
    <row r="470" spans="1:17" x14ac:dyDescent="0.25">
      <c r="A470">
        <v>10469</v>
      </c>
      <c r="B470" s="1">
        <v>46126</v>
      </c>
      <c r="C470">
        <v>3103</v>
      </c>
      <c r="D470" t="s">
        <v>23</v>
      </c>
      <c r="E470" t="s">
        <v>18</v>
      </c>
      <c r="F470" t="s">
        <v>26</v>
      </c>
      <c r="G470" t="s">
        <v>30</v>
      </c>
      <c r="H470">
        <v>3</v>
      </c>
      <c r="I470">
        <v>112.24</v>
      </c>
      <c r="J470">
        <v>5</v>
      </c>
      <c r="K470">
        <v>336.719999999999</v>
      </c>
      <c r="L470">
        <v>16.835999999999999</v>
      </c>
      <c r="M470">
        <v>319.88399999999899</v>
      </c>
      <c r="N470">
        <v>115.04</v>
      </c>
      <c r="O470">
        <v>345.12</v>
      </c>
      <c r="P470">
        <v>-25.236000000000001</v>
      </c>
      <c r="Q470">
        <v>-7.8891098023033503</v>
      </c>
    </row>
    <row r="471" spans="1:17" x14ac:dyDescent="0.25">
      <c r="A471">
        <v>10470</v>
      </c>
      <c r="B471" s="1">
        <v>46127</v>
      </c>
      <c r="C471">
        <v>3896</v>
      </c>
      <c r="D471" t="s">
        <v>17</v>
      </c>
      <c r="E471" t="s">
        <v>18</v>
      </c>
      <c r="F471" t="s">
        <v>33</v>
      </c>
      <c r="G471" t="s">
        <v>32</v>
      </c>
      <c r="H471">
        <v>6</v>
      </c>
      <c r="I471">
        <v>164.52</v>
      </c>
      <c r="J471">
        <v>10</v>
      </c>
      <c r="K471">
        <v>987.12</v>
      </c>
      <c r="L471">
        <v>98.712000000000003</v>
      </c>
      <c r="M471">
        <v>888.40800000000002</v>
      </c>
      <c r="N471">
        <v>13.46</v>
      </c>
      <c r="O471">
        <v>80.760000000000005</v>
      </c>
      <c r="P471">
        <v>807.64800000000002</v>
      </c>
      <c r="Q471">
        <v>90.909582083907395</v>
      </c>
    </row>
    <row r="472" spans="1:17" x14ac:dyDescent="0.25">
      <c r="A472">
        <v>10471</v>
      </c>
      <c r="B472" s="1">
        <v>46128</v>
      </c>
      <c r="C472">
        <v>3584</v>
      </c>
      <c r="D472" t="s">
        <v>29</v>
      </c>
      <c r="E472" t="s">
        <v>18</v>
      </c>
      <c r="F472" t="s">
        <v>25</v>
      </c>
      <c r="G472" t="s">
        <v>31</v>
      </c>
      <c r="H472">
        <v>8</v>
      </c>
      <c r="I472">
        <v>100.55</v>
      </c>
      <c r="J472">
        <v>15</v>
      </c>
      <c r="K472">
        <v>804.4</v>
      </c>
      <c r="L472">
        <v>120.66</v>
      </c>
      <c r="M472">
        <v>683.74</v>
      </c>
      <c r="N472">
        <v>141.91999999999999</v>
      </c>
      <c r="O472">
        <v>1135.3599999999999</v>
      </c>
      <c r="P472">
        <v>-451.61999999999898</v>
      </c>
      <c r="Q472">
        <v>-66.051423055547403</v>
      </c>
    </row>
    <row r="473" spans="1:17" x14ac:dyDescent="0.25">
      <c r="A473">
        <v>10472</v>
      </c>
      <c r="B473" s="1">
        <v>46129</v>
      </c>
      <c r="C473">
        <v>3909</v>
      </c>
      <c r="D473" t="s">
        <v>21</v>
      </c>
      <c r="E473" t="s">
        <v>24</v>
      </c>
      <c r="F473" t="s">
        <v>26</v>
      </c>
      <c r="G473" t="s">
        <v>28</v>
      </c>
      <c r="H473">
        <v>5</v>
      </c>
      <c r="I473">
        <v>41.72</v>
      </c>
      <c r="J473">
        <v>10</v>
      </c>
      <c r="K473">
        <v>208.6</v>
      </c>
      <c r="L473">
        <v>20.86</v>
      </c>
      <c r="M473">
        <v>187.74</v>
      </c>
      <c r="N473">
        <v>35.21</v>
      </c>
      <c r="O473">
        <v>176.05</v>
      </c>
      <c r="P473">
        <v>11.6899999999999</v>
      </c>
      <c r="Q473">
        <v>6.2266964951528596</v>
      </c>
    </row>
    <row r="474" spans="1:17" x14ac:dyDescent="0.25">
      <c r="A474">
        <v>10473</v>
      </c>
      <c r="B474" s="1">
        <v>46130</v>
      </c>
      <c r="C474">
        <v>3152</v>
      </c>
      <c r="D474" t="s">
        <v>29</v>
      </c>
      <c r="E474" t="s">
        <v>24</v>
      </c>
      <c r="F474" t="s">
        <v>25</v>
      </c>
      <c r="G474" t="s">
        <v>28</v>
      </c>
      <c r="H474">
        <v>5</v>
      </c>
      <c r="I474">
        <v>231.01</v>
      </c>
      <c r="J474">
        <v>5</v>
      </c>
      <c r="K474">
        <v>1155.05</v>
      </c>
      <c r="L474">
        <v>57.752499999999998</v>
      </c>
      <c r="M474">
        <v>1097.2974999999999</v>
      </c>
      <c r="N474">
        <v>101.65</v>
      </c>
      <c r="O474">
        <v>508.25</v>
      </c>
      <c r="P474">
        <v>589.04749999999899</v>
      </c>
      <c r="Q474">
        <v>53.681658802649203</v>
      </c>
    </row>
    <row r="475" spans="1:17" x14ac:dyDescent="0.25">
      <c r="A475">
        <v>10474</v>
      </c>
      <c r="B475" s="1">
        <v>46131</v>
      </c>
      <c r="C475">
        <v>3268</v>
      </c>
      <c r="D475" t="s">
        <v>17</v>
      </c>
      <c r="E475" t="s">
        <v>24</v>
      </c>
      <c r="F475" t="s">
        <v>19</v>
      </c>
      <c r="G475" t="s">
        <v>30</v>
      </c>
      <c r="H475">
        <v>2</v>
      </c>
      <c r="I475">
        <v>184.33</v>
      </c>
      <c r="J475">
        <v>20</v>
      </c>
      <c r="K475">
        <v>368.66</v>
      </c>
      <c r="L475">
        <v>73.731999999999999</v>
      </c>
      <c r="M475">
        <v>294.928</v>
      </c>
      <c r="N475">
        <v>141.38</v>
      </c>
      <c r="O475">
        <v>282.76</v>
      </c>
      <c r="P475">
        <v>12.167999999999999</v>
      </c>
      <c r="Q475">
        <v>4.1257527260890798</v>
      </c>
    </row>
    <row r="476" spans="1:17" x14ac:dyDescent="0.25">
      <c r="A476">
        <v>10475</v>
      </c>
      <c r="B476" s="1">
        <v>46132</v>
      </c>
      <c r="C476">
        <v>3689</v>
      </c>
      <c r="D476" t="s">
        <v>21</v>
      </c>
      <c r="E476" t="s">
        <v>24</v>
      </c>
      <c r="F476" t="s">
        <v>26</v>
      </c>
      <c r="G476" t="s">
        <v>30</v>
      </c>
      <c r="H476">
        <v>6</v>
      </c>
      <c r="I476">
        <v>52.43</v>
      </c>
      <c r="J476">
        <v>5</v>
      </c>
      <c r="K476">
        <v>314.58</v>
      </c>
      <c r="L476">
        <v>15.728999999999999</v>
      </c>
      <c r="M476">
        <v>298.851</v>
      </c>
      <c r="N476">
        <v>127.14</v>
      </c>
      <c r="O476">
        <v>762.84</v>
      </c>
      <c r="P476">
        <v>-463.98899999999998</v>
      </c>
      <c r="Q476">
        <v>-155.25763674874699</v>
      </c>
    </row>
    <row r="477" spans="1:17" x14ac:dyDescent="0.25">
      <c r="A477">
        <v>10476</v>
      </c>
      <c r="B477" s="1">
        <v>46133</v>
      </c>
      <c r="C477">
        <v>3226</v>
      </c>
      <c r="D477" t="s">
        <v>23</v>
      </c>
      <c r="E477" t="s">
        <v>18</v>
      </c>
      <c r="F477" t="s">
        <v>33</v>
      </c>
      <c r="G477" t="s">
        <v>28</v>
      </c>
      <c r="H477">
        <v>9</v>
      </c>
      <c r="I477">
        <v>208.37</v>
      </c>
      <c r="J477">
        <v>10</v>
      </c>
      <c r="K477">
        <v>1875.33</v>
      </c>
      <c r="L477">
        <v>187.53299999999999</v>
      </c>
      <c r="M477">
        <v>1687.797</v>
      </c>
      <c r="N477">
        <v>75.8</v>
      </c>
      <c r="O477">
        <v>682.19999999999902</v>
      </c>
      <c r="P477">
        <v>1005.597</v>
      </c>
      <c r="Q477">
        <v>59.580447174630599</v>
      </c>
    </row>
    <row r="478" spans="1:17" x14ac:dyDescent="0.25">
      <c r="A478">
        <v>10477</v>
      </c>
      <c r="B478" s="1">
        <v>46134</v>
      </c>
      <c r="C478">
        <v>3195</v>
      </c>
      <c r="D478" t="s">
        <v>29</v>
      </c>
      <c r="E478" t="s">
        <v>18</v>
      </c>
      <c r="F478" t="s">
        <v>33</v>
      </c>
      <c r="G478" t="s">
        <v>20</v>
      </c>
      <c r="H478">
        <v>5</v>
      </c>
      <c r="I478">
        <v>238.13</v>
      </c>
      <c r="J478">
        <v>20</v>
      </c>
      <c r="K478">
        <v>1190.6500000000001</v>
      </c>
      <c r="L478">
        <v>238.13</v>
      </c>
      <c r="M478">
        <v>952.52</v>
      </c>
      <c r="N478">
        <v>142.33000000000001</v>
      </c>
      <c r="O478">
        <v>711.65</v>
      </c>
      <c r="P478">
        <v>240.87</v>
      </c>
      <c r="Q478">
        <v>25.2876580019317</v>
      </c>
    </row>
    <row r="479" spans="1:17" x14ac:dyDescent="0.25">
      <c r="A479">
        <v>10478</v>
      </c>
      <c r="B479" s="1">
        <v>46135</v>
      </c>
      <c r="C479">
        <v>3124</v>
      </c>
      <c r="D479" t="s">
        <v>21</v>
      </c>
      <c r="E479" t="s">
        <v>18</v>
      </c>
      <c r="F479" t="s">
        <v>33</v>
      </c>
      <c r="G479" t="s">
        <v>30</v>
      </c>
      <c r="H479">
        <v>3</v>
      </c>
      <c r="I479">
        <v>77.52</v>
      </c>
      <c r="J479">
        <v>15</v>
      </c>
      <c r="K479">
        <v>232.56</v>
      </c>
      <c r="L479">
        <v>34.884</v>
      </c>
      <c r="M479">
        <v>197.67599999999999</v>
      </c>
      <c r="N479">
        <v>104.43</v>
      </c>
      <c r="O479">
        <v>313.29000000000002</v>
      </c>
      <c r="P479">
        <v>-115.614</v>
      </c>
      <c r="Q479">
        <v>-58.4866144600255</v>
      </c>
    </row>
    <row r="480" spans="1:17" x14ac:dyDescent="0.25">
      <c r="A480">
        <v>10479</v>
      </c>
      <c r="B480" s="1">
        <v>46136</v>
      </c>
      <c r="C480">
        <v>3608</v>
      </c>
      <c r="D480" t="s">
        <v>29</v>
      </c>
      <c r="E480" t="s">
        <v>18</v>
      </c>
      <c r="F480" t="s">
        <v>19</v>
      </c>
      <c r="G480" t="s">
        <v>28</v>
      </c>
      <c r="H480">
        <v>7</v>
      </c>
      <c r="I480">
        <v>139.22</v>
      </c>
      <c r="J480">
        <v>10</v>
      </c>
      <c r="K480">
        <v>974.54</v>
      </c>
      <c r="L480">
        <v>97.453999999999994</v>
      </c>
      <c r="M480">
        <v>877.08600000000001</v>
      </c>
      <c r="N480">
        <v>41.24</v>
      </c>
      <c r="O480">
        <v>288.68</v>
      </c>
      <c r="P480">
        <v>588.40599999999995</v>
      </c>
      <c r="Q480">
        <v>67.086465865376894</v>
      </c>
    </row>
    <row r="481" spans="1:17" x14ac:dyDescent="0.25">
      <c r="A481">
        <v>10480</v>
      </c>
      <c r="B481" s="1">
        <v>46137</v>
      </c>
      <c r="C481">
        <v>3730</v>
      </c>
      <c r="D481" t="s">
        <v>29</v>
      </c>
      <c r="E481" t="s">
        <v>24</v>
      </c>
      <c r="F481" t="s">
        <v>25</v>
      </c>
      <c r="G481" t="s">
        <v>20</v>
      </c>
      <c r="H481">
        <v>5</v>
      </c>
      <c r="I481">
        <v>234.03</v>
      </c>
      <c r="J481">
        <v>10</v>
      </c>
      <c r="K481">
        <v>1170.1500000000001</v>
      </c>
      <c r="L481">
        <v>117.015</v>
      </c>
      <c r="M481">
        <v>1053.135</v>
      </c>
      <c r="N481">
        <v>144.82</v>
      </c>
      <c r="O481">
        <v>724.099999999999</v>
      </c>
      <c r="P481">
        <v>329.03500000000003</v>
      </c>
      <c r="Q481">
        <v>31.243382852150901</v>
      </c>
    </row>
    <row r="482" spans="1:17" x14ac:dyDescent="0.25">
      <c r="A482">
        <v>10481</v>
      </c>
      <c r="B482" s="1">
        <v>46138</v>
      </c>
      <c r="C482">
        <v>3337</v>
      </c>
      <c r="D482" t="s">
        <v>17</v>
      </c>
      <c r="E482" t="s">
        <v>24</v>
      </c>
      <c r="F482" t="s">
        <v>33</v>
      </c>
      <c r="G482" t="s">
        <v>32</v>
      </c>
      <c r="H482">
        <v>9</v>
      </c>
      <c r="I482">
        <v>89.93</v>
      </c>
      <c r="J482">
        <v>15</v>
      </c>
      <c r="K482">
        <v>809.37</v>
      </c>
      <c r="L482">
        <v>121.4055</v>
      </c>
      <c r="M482">
        <v>687.96450000000004</v>
      </c>
      <c r="N482">
        <v>87.25</v>
      </c>
      <c r="O482">
        <v>785.25</v>
      </c>
      <c r="P482">
        <v>-97.2854999999999</v>
      </c>
      <c r="Q482">
        <v>-14.141063964782999</v>
      </c>
    </row>
    <row r="483" spans="1:17" x14ac:dyDescent="0.25">
      <c r="A483">
        <v>10482</v>
      </c>
      <c r="B483" s="1">
        <v>46139</v>
      </c>
      <c r="C483">
        <v>3715</v>
      </c>
      <c r="D483" t="s">
        <v>17</v>
      </c>
      <c r="E483" t="s">
        <v>18</v>
      </c>
      <c r="F483" t="s">
        <v>19</v>
      </c>
      <c r="G483" t="s">
        <v>31</v>
      </c>
      <c r="H483">
        <v>6</v>
      </c>
      <c r="I483">
        <v>97.2</v>
      </c>
      <c r="J483">
        <v>5</v>
      </c>
      <c r="K483">
        <v>583.20000000000005</v>
      </c>
      <c r="L483">
        <v>29.16</v>
      </c>
      <c r="M483">
        <v>554.04</v>
      </c>
      <c r="N483">
        <v>51.74</v>
      </c>
      <c r="O483">
        <v>310.44</v>
      </c>
      <c r="P483">
        <v>243.6</v>
      </c>
      <c r="Q483">
        <v>43.967944552739802</v>
      </c>
    </row>
    <row r="484" spans="1:17" x14ac:dyDescent="0.25">
      <c r="A484">
        <v>10483</v>
      </c>
      <c r="B484" s="1">
        <v>46140</v>
      </c>
      <c r="C484">
        <v>3129</v>
      </c>
      <c r="D484" t="s">
        <v>17</v>
      </c>
      <c r="E484" t="s">
        <v>18</v>
      </c>
      <c r="F484" t="s">
        <v>26</v>
      </c>
      <c r="G484" t="s">
        <v>20</v>
      </c>
      <c r="H484">
        <v>5</v>
      </c>
      <c r="I484">
        <v>54.43</v>
      </c>
      <c r="J484">
        <v>15</v>
      </c>
      <c r="K484">
        <v>272.14999999999998</v>
      </c>
      <c r="L484">
        <v>40.822499999999998</v>
      </c>
      <c r="M484">
        <v>231.32749999999999</v>
      </c>
      <c r="N484">
        <v>68.010000000000005</v>
      </c>
      <c r="O484">
        <v>340.05</v>
      </c>
      <c r="P484">
        <v>-108.7225</v>
      </c>
      <c r="Q484">
        <v>-46.999383990230299</v>
      </c>
    </row>
    <row r="485" spans="1:17" x14ac:dyDescent="0.25">
      <c r="A485">
        <v>10484</v>
      </c>
      <c r="B485" s="1">
        <v>46141</v>
      </c>
      <c r="C485">
        <v>3805</v>
      </c>
      <c r="D485" t="s">
        <v>17</v>
      </c>
      <c r="E485" t="s">
        <v>24</v>
      </c>
      <c r="F485" t="s">
        <v>33</v>
      </c>
      <c r="G485" t="s">
        <v>28</v>
      </c>
      <c r="H485">
        <v>1</v>
      </c>
      <c r="I485">
        <v>120.33</v>
      </c>
      <c r="J485">
        <v>5</v>
      </c>
      <c r="K485">
        <v>120.33</v>
      </c>
      <c r="L485">
        <v>6.0164999999999997</v>
      </c>
      <c r="M485">
        <v>114.3135</v>
      </c>
      <c r="N485">
        <v>33.130000000000003</v>
      </c>
      <c r="O485">
        <v>33.130000000000003</v>
      </c>
      <c r="P485">
        <v>81.183499999999995</v>
      </c>
      <c r="Q485">
        <v>71.018296176741998</v>
      </c>
    </row>
    <row r="486" spans="1:17" x14ac:dyDescent="0.25">
      <c r="A486">
        <v>10485</v>
      </c>
      <c r="B486" s="1">
        <v>46142</v>
      </c>
      <c r="C486">
        <v>3805</v>
      </c>
      <c r="D486" t="s">
        <v>21</v>
      </c>
      <c r="E486" t="s">
        <v>18</v>
      </c>
      <c r="F486" t="s">
        <v>19</v>
      </c>
      <c r="G486" t="s">
        <v>27</v>
      </c>
      <c r="H486">
        <v>8</v>
      </c>
      <c r="I486">
        <v>226.79</v>
      </c>
      <c r="J486">
        <v>20</v>
      </c>
      <c r="K486">
        <v>1814.32</v>
      </c>
      <c r="L486">
        <v>362.86399999999998</v>
      </c>
      <c r="M486">
        <v>1451.4559999999999</v>
      </c>
      <c r="N486">
        <v>88.16</v>
      </c>
      <c r="O486">
        <v>705.28</v>
      </c>
      <c r="P486">
        <v>746.17599999999902</v>
      </c>
      <c r="Q486">
        <v>51.408792274791601</v>
      </c>
    </row>
    <row r="487" spans="1:17" x14ac:dyDescent="0.25">
      <c r="A487">
        <v>10486</v>
      </c>
      <c r="B487" s="1">
        <v>46143</v>
      </c>
      <c r="C487">
        <v>3950</v>
      </c>
      <c r="D487" t="s">
        <v>29</v>
      </c>
      <c r="E487" t="s">
        <v>24</v>
      </c>
      <c r="F487" t="s">
        <v>25</v>
      </c>
      <c r="G487" t="s">
        <v>32</v>
      </c>
      <c r="H487">
        <v>6</v>
      </c>
      <c r="I487">
        <v>241.95</v>
      </c>
      <c r="J487">
        <v>0</v>
      </c>
      <c r="K487">
        <v>1451.69999999999</v>
      </c>
      <c r="L487">
        <v>0</v>
      </c>
      <c r="M487">
        <v>1451.69999999999</v>
      </c>
      <c r="N487">
        <v>87.17</v>
      </c>
      <c r="O487">
        <v>523.02</v>
      </c>
      <c r="P487">
        <v>928.67999999999904</v>
      </c>
      <c r="Q487">
        <v>63.9718950196321</v>
      </c>
    </row>
    <row r="488" spans="1:17" x14ac:dyDescent="0.25">
      <c r="A488">
        <v>10487</v>
      </c>
      <c r="B488" s="1">
        <v>46144</v>
      </c>
      <c r="C488">
        <v>3496</v>
      </c>
      <c r="D488" t="s">
        <v>29</v>
      </c>
      <c r="E488" t="s">
        <v>24</v>
      </c>
      <c r="F488" t="s">
        <v>26</v>
      </c>
      <c r="G488" t="s">
        <v>30</v>
      </c>
      <c r="H488">
        <v>4</v>
      </c>
      <c r="I488">
        <v>48.13</v>
      </c>
      <c r="J488">
        <v>0</v>
      </c>
      <c r="K488">
        <v>192.52</v>
      </c>
      <c r="L488">
        <v>0</v>
      </c>
      <c r="M488">
        <v>192.52</v>
      </c>
      <c r="N488">
        <v>28.15</v>
      </c>
      <c r="O488">
        <v>112.6</v>
      </c>
      <c r="P488">
        <v>79.92</v>
      </c>
      <c r="Q488">
        <v>41.512570122584599</v>
      </c>
    </row>
    <row r="489" spans="1:17" x14ac:dyDescent="0.25">
      <c r="A489">
        <v>10488</v>
      </c>
      <c r="B489" s="1">
        <v>46145</v>
      </c>
      <c r="C489">
        <v>3969</v>
      </c>
      <c r="D489" t="s">
        <v>29</v>
      </c>
      <c r="E489" t="s">
        <v>18</v>
      </c>
      <c r="F489" t="s">
        <v>26</v>
      </c>
      <c r="G489" t="s">
        <v>30</v>
      </c>
      <c r="H489">
        <v>8</v>
      </c>
      <c r="I489">
        <v>232.92</v>
      </c>
      <c r="J489">
        <v>5</v>
      </c>
      <c r="K489">
        <v>1863.36</v>
      </c>
      <c r="L489">
        <v>93.168000000000006</v>
      </c>
      <c r="M489">
        <v>1770.192</v>
      </c>
      <c r="N489">
        <v>65.150000000000006</v>
      </c>
      <c r="O489">
        <v>521.20000000000005</v>
      </c>
      <c r="P489">
        <v>1248.992</v>
      </c>
      <c r="Q489">
        <v>70.556866147852801</v>
      </c>
    </row>
    <row r="490" spans="1:17" x14ac:dyDescent="0.25">
      <c r="A490">
        <v>10489</v>
      </c>
      <c r="B490" s="1">
        <v>46146</v>
      </c>
      <c r="C490">
        <v>3859</v>
      </c>
      <c r="D490" t="s">
        <v>23</v>
      </c>
      <c r="E490" t="s">
        <v>24</v>
      </c>
      <c r="F490" t="s">
        <v>33</v>
      </c>
      <c r="G490" t="s">
        <v>28</v>
      </c>
      <c r="H490">
        <v>8</v>
      </c>
      <c r="I490">
        <v>57.01</v>
      </c>
      <c r="J490">
        <v>15</v>
      </c>
      <c r="K490">
        <v>456.08</v>
      </c>
      <c r="L490">
        <v>68.411999999999907</v>
      </c>
      <c r="M490">
        <v>387.66800000000001</v>
      </c>
      <c r="N490">
        <v>43.61</v>
      </c>
      <c r="O490">
        <v>348.88</v>
      </c>
      <c r="P490">
        <v>38.787999999999997</v>
      </c>
      <c r="Q490">
        <v>10.005468596840499</v>
      </c>
    </row>
    <row r="491" spans="1:17" x14ac:dyDescent="0.25">
      <c r="A491">
        <v>10490</v>
      </c>
      <c r="B491" s="1">
        <v>46147</v>
      </c>
      <c r="C491">
        <v>3723</v>
      </c>
      <c r="D491" t="s">
        <v>23</v>
      </c>
      <c r="E491" t="s">
        <v>24</v>
      </c>
      <c r="F491" t="s">
        <v>25</v>
      </c>
      <c r="G491" t="s">
        <v>22</v>
      </c>
      <c r="H491">
        <v>6</v>
      </c>
      <c r="I491">
        <v>220.77</v>
      </c>
      <c r="J491">
        <v>0</v>
      </c>
      <c r="K491">
        <v>1324.62</v>
      </c>
      <c r="L491">
        <v>0</v>
      </c>
      <c r="M491">
        <v>1324.62</v>
      </c>
      <c r="N491">
        <v>134.86000000000001</v>
      </c>
      <c r="O491">
        <v>809.16</v>
      </c>
      <c r="P491">
        <v>515.46</v>
      </c>
      <c r="Q491">
        <v>38.913801694070699</v>
      </c>
    </row>
    <row r="492" spans="1:17" x14ac:dyDescent="0.25">
      <c r="A492">
        <v>10491</v>
      </c>
      <c r="B492" s="1">
        <v>46148</v>
      </c>
      <c r="C492">
        <v>3555</v>
      </c>
      <c r="D492" t="s">
        <v>29</v>
      </c>
      <c r="E492" t="s">
        <v>18</v>
      </c>
      <c r="F492" t="s">
        <v>33</v>
      </c>
      <c r="G492" t="s">
        <v>20</v>
      </c>
      <c r="H492">
        <v>6</v>
      </c>
      <c r="I492">
        <v>200.99</v>
      </c>
      <c r="J492">
        <v>20</v>
      </c>
      <c r="K492">
        <v>1205.94</v>
      </c>
      <c r="L492">
        <v>241.18799999999999</v>
      </c>
      <c r="M492">
        <v>964.75199999999995</v>
      </c>
      <c r="N492">
        <v>33.25</v>
      </c>
      <c r="O492">
        <v>199.5</v>
      </c>
      <c r="P492">
        <v>765.25199999999995</v>
      </c>
      <c r="Q492">
        <v>79.321110503010104</v>
      </c>
    </row>
    <row r="493" spans="1:17" x14ac:dyDescent="0.25">
      <c r="A493">
        <v>10492</v>
      </c>
      <c r="B493" s="1">
        <v>46149</v>
      </c>
      <c r="C493">
        <v>3178</v>
      </c>
      <c r="D493" t="s">
        <v>17</v>
      </c>
      <c r="E493" t="s">
        <v>18</v>
      </c>
      <c r="F493" t="s">
        <v>26</v>
      </c>
      <c r="G493" t="s">
        <v>30</v>
      </c>
      <c r="H493">
        <v>1</v>
      </c>
      <c r="I493">
        <v>17.32</v>
      </c>
      <c r="J493">
        <v>15</v>
      </c>
      <c r="K493">
        <v>17.32</v>
      </c>
      <c r="L493">
        <v>2.5979999999999999</v>
      </c>
      <c r="M493">
        <v>14.722</v>
      </c>
      <c r="N493">
        <v>93.21</v>
      </c>
      <c r="O493">
        <v>93.21</v>
      </c>
      <c r="P493">
        <v>-78.488</v>
      </c>
      <c r="Q493">
        <v>-533.134085042793</v>
      </c>
    </row>
    <row r="494" spans="1:17" x14ac:dyDescent="0.25">
      <c r="A494">
        <v>10493</v>
      </c>
      <c r="B494" s="1">
        <v>46150</v>
      </c>
      <c r="C494">
        <v>3852</v>
      </c>
      <c r="D494" t="s">
        <v>23</v>
      </c>
      <c r="E494" t="s">
        <v>18</v>
      </c>
      <c r="F494" t="s">
        <v>33</v>
      </c>
      <c r="G494" t="s">
        <v>31</v>
      </c>
      <c r="H494">
        <v>9</v>
      </c>
      <c r="I494">
        <v>99.41</v>
      </c>
      <c r="J494">
        <v>10</v>
      </c>
      <c r="K494">
        <v>894.68999999999903</v>
      </c>
      <c r="L494">
        <v>89.468999999999994</v>
      </c>
      <c r="M494">
        <v>805.221</v>
      </c>
      <c r="N494">
        <v>97.82</v>
      </c>
      <c r="O494">
        <v>880.37999999999897</v>
      </c>
      <c r="P494">
        <v>-75.158999999999807</v>
      </c>
      <c r="Q494">
        <v>-9.3339592484547502</v>
      </c>
    </row>
    <row r="495" spans="1:17" x14ac:dyDescent="0.25">
      <c r="A495">
        <v>10494</v>
      </c>
      <c r="B495" s="1">
        <v>46151</v>
      </c>
      <c r="C495">
        <v>3194</v>
      </c>
      <c r="D495" t="s">
        <v>29</v>
      </c>
      <c r="E495" t="s">
        <v>24</v>
      </c>
      <c r="F495" t="s">
        <v>26</v>
      </c>
      <c r="G495" t="s">
        <v>20</v>
      </c>
      <c r="H495">
        <v>1</v>
      </c>
      <c r="I495">
        <v>79.66</v>
      </c>
      <c r="J495">
        <v>5</v>
      </c>
      <c r="K495">
        <v>79.66</v>
      </c>
      <c r="L495">
        <v>3.9830000000000001</v>
      </c>
      <c r="M495">
        <v>75.676999999999893</v>
      </c>
      <c r="N495">
        <v>92.54</v>
      </c>
      <c r="O495">
        <v>92.54</v>
      </c>
      <c r="P495">
        <v>-16.863</v>
      </c>
      <c r="Q495">
        <v>-22.2828600499491</v>
      </c>
    </row>
    <row r="496" spans="1:17" x14ac:dyDescent="0.25">
      <c r="A496">
        <v>10495</v>
      </c>
      <c r="B496" s="1">
        <v>46152</v>
      </c>
      <c r="C496">
        <v>3111</v>
      </c>
      <c r="D496" t="s">
        <v>29</v>
      </c>
      <c r="E496" t="s">
        <v>18</v>
      </c>
      <c r="F496" t="s">
        <v>25</v>
      </c>
      <c r="G496" t="s">
        <v>30</v>
      </c>
      <c r="H496">
        <v>4</v>
      </c>
      <c r="I496">
        <v>213.83</v>
      </c>
      <c r="J496">
        <v>20</v>
      </c>
      <c r="K496">
        <v>855.32</v>
      </c>
      <c r="L496">
        <v>171.06399999999999</v>
      </c>
      <c r="M496">
        <v>684.25599999999997</v>
      </c>
      <c r="N496">
        <v>59.1</v>
      </c>
      <c r="O496">
        <v>236.4</v>
      </c>
      <c r="P496">
        <v>447.85599999999999</v>
      </c>
      <c r="Q496">
        <v>65.451526913903507</v>
      </c>
    </row>
    <row r="497" spans="1:17" x14ac:dyDescent="0.25">
      <c r="A497">
        <v>10496</v>
      </c>
      <c r="B497" s="1">
        <v>46153</v>
      </c>
      <c r="C497">
        <v>3136</v>
      </c>
      <c r="D497" t="s">
        <v>29</v>
      </c>
      <c r="E497" t="s">
        <v>18</v>
      </c>
      <c r="F497" t="s">
        <v>26</v>
      </c>
      <c r="G497" t="s">
        <v>28</v>
      </c>
      <c r="H497">
        <v>1</v>
      </c>
      <c r="I497">
        <v>67.5</v>
      </c>
      <c r="J497">
        <v>0</v>
      </c>
      <c r="K497">
        <v>67.5</v>
      </c>
      <c r="L497">
        <v>0</v>
      </c>
      <c r="M497">
        <v>67.5</v>
      </c>
      <c r="N497">
        <v>40.47</v>
      </c>
      <c r="O497">
        <v>40.47</v>
      </c>
      <c r="P497">
        <v>27.03</v>
      </c>
      <c r="Q497">
        <v>40.044444444444402</v>
      </c>
    </row>
    <row r="498" spans="1:17" x14ac:dyDescent="0.25">
      <c r="A498">
        <v>10497</v>
      </c>
      <c r="B498" s="1">
        <v>46154</v>
      </c>
      <c r="C498">
        <v>3762</v>
      </c>
      <c r="D498" t="s">
        <v>23</v>
      </c>
      <c r="E498" t="s">
        <v>24</v>
      </c>
      <c r="F498" t="s">
        <v>19</v>
      </c>
      <c r="G498" t="s">
        <v>31</v>
      </c>
      <c r="H498">
        <v>5</v>
      </c>
      <c r="I498">
        <v>120.59</v>
      </c>
      <c r="J498">
        <v>10</v>
      </c>
      <c r="K498">
        <v>602.95000000000005</v>
      </c>
      <c r="L498">
        <v>60.295000000000002</v>
      </c>
      <c r="M498">
        <v>542.65499999999997</v>
      </c>
      <c r="N498">
        <v>6.2</v>
      </c>
      <c r="O498">
        <v>31</v>
      </c>
      <c r="P498">
        <v>511.65499999999997</v>
      </c>
      <c r="Q498">
        <v>94.287346472436397</v>
      </c>
    </row>
    <row r="499" spans="1:17" x14ac:dyDescent="0.25">
      <c r="A499">
        <v>10498</v>
      </c>
      <c r="B499" s="1">
        <v>46155</v>
      </c>
      <c r="C499">
        <v>3574</v>
      </c>
      <c r="D499" t="s">
        <v>17</v>
      </c>
      <c r="E499" t="s">
        <v>24</v>
      </c>
      <c r="F499" t="s">
        <v>19</v>
      </c>
      <c r="G499" t="s">
        <v>31</v>
      </c>
      <c r="H499">
        <v>3</v>
      </c>
      <c r="I499">
        <v>182.53</v>
      </c>
      <c r="J499">
        <v>20</v>
      </c>
      <c r="K499">
        <v>547.59</v>
      </c>
      <c r="L499">
        <v>109.518</v>
      </c>
      <c r="M499">
        <v>438.072</v>
      </c>
      <c r="N499">
        <v>34.68</v>
      </c>
      <c r="O499">
        <v>104.039999999999</v>
      </c>
      <c r="P499">
        <v>334.03199999999998</v>
      </c>
      <c r="Q499">
        <v>76.250479373253697</v>
      </c>
    </row>
    <row r="500" spans="1:17" x14ac:dyDescent="0.25">
      <c r="A500">
        <v>10499</v>
      </c>
      <c r="B500" s="1">
        <v>46156</v>
      </c>
      <c r="C500">
        <v>3084</v>
      </c>
      <c r="D500" t="s">
        <v>29</v>
      </c>
      <c r="E500" t="s">
        <v>18</v>
      </c>
      <c r="F500" t="s">
        <v>19</v>
      </c>
      <c r="G500" t="s">
        <v>22</v>
      </c>
      <c r="H500">
        <v>1</v>
      </c>
      <c r="I500">
        <v>249.83</v>
      </c>
      <c r="J500">
        <v>15</v>
      </c>
      <c r="K500">
        <v>249.83</v>
      </c>
      <c r="L500">
        <v>37.474499999999999</v>
      </c>
      <c r="M500">
        <v>212.35550000000001</v>
      </c>
      <c r="N500">
        <v>123.04</v>
      </c>
      <c r="O500">
        <v>123.04</v>
      </c>
      <c r="P500">
        <v>89.3155</v>
      </c>
      <c r="Q500">
        <v>42.059423937689303</v>
      </c>
    </row>
    <row r="501" spans="1:17" x14ac:dyDescent="0.25">
      <c r="A501">
        <v>10500</v>
      </c>
      <c r="B501" s="1">
        <v>46157</v>
      </c>
      <c r="C501">
        <v>3313</v>
      </c>
      <c r="D501" t="s">
        <v>29</v>
      </c>
      <c r="E501" t="s">
        <v>18</v>
      </c>
      <c r="F501" t="s">
        <v>25</v>
      </c>
      <c r="G501" t="s">
        <v>27</v>
      </c>
      <c r="H501">
        <v>7</v>
      </c>
      <c r="I501">
        <v>97.16</v>
      </c>
      <c r="J501">
        <v>20</v>
      </c>
      <c r="K501">
        <v>680.12</v>
      </c>
      <c r="L501">
        <v>136.024</v>
      </c>
      <c r="M501">
        <v>544.096</v>
      </c>
      <c r="N501">
        <v>45.31</v>
      </c>
      <c r="O501">
        <v>317.17</v>
      </c>
      <c r="P501">
        <v>226.92599999999999</v>
      </c>
      <c r="Q501">
        <v>41.706978180321101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U401"/>
  <sheetViews>
    <sheetView zoomScaleNormal="100" workbookViewId="0">
      <selection activeCell="H4" sqref="H4"/>
    </sheetView>
  </sheetViews>
  <sheetFormatPr defaultRowHeight="15" x14ac:dyDescent="0.25"/>
  <cols>
    <col min="2" max="2" width="13.140625" bestFit="1" customWidth="1"/>
    <col min="3" max="3" width="20" bestFit="1" customWidth="1"/>
    <col min="5" max="5" width="11.28515625" bestFit="1" customWidth="1"/>
    <col min="6" max="6" width="16.140625" bestFit="1" customWidth="1"/>
    <col min="7" max="7" width="23.5703125" bestFit="1" customWidth="1"/>
    <col min="8" max="8" width="27.5703125" bestFit="1" customWidth="1"/>
    <col min="9" max="9" width="12.42578125" customWidth="1"/>
    <col min="10" max="10" width="12.140625" bestFit="1" customWidth="1"/>
    <col min="11" max="11" width="20" bestFit="1" customWidth="1"/>
    <col min="12" max="12" width="12.5703125" bestFit="1" customWidth="1"/>
    <col min="13" max="13" width="20" bestFit="1" customWidth="1"/>
    <col min="14" max="14" width="15.42578125" bestFit="1" customWidth="1"/>
    <col min="15" max="15" width="12.5703125" bestFit="1" customWidth="1"/>
    <col min="16" max="16" width="20" bestFit="1" customWidth="1"/>
    <col min="17" max="17" width="17.28515625" bestFit="1" customWidth="1"/>
    <col min="19" max="19" width="11.28515625" bestFit="1" customWidth="1"/>
    <col min="20" max="20" width="17.28515625" bestFit="1" customWidth="1"/>
  </cols>
  <sheetData>
    <row r="2" spans="2:21" x14ac:dyDescent="0.25">
      <c r="B2" t="s">
        <v>34</v>
      </c>
      <c r="C2">
        <f>SUM('Retail Sales &amp; Profit Analysis '!M1:M501)</f>
        <v>294348.3835</v>
      </c>
      <c r="E2" s="2" t="s">
        <v>36</v>
      </c>
      <c r="F2" t="s">
        <v>38</v>
      </c>
      <c r="G2" t="s">
        <v>40</v>
      </c>
      <c r="H2" t="str">
        <f>TEXT(GETPIVOTDATA("Sum of Net_Revenue",$E$2),"#,##0")</f>
        <v>2,94,348</v>
      </c>
      <c r="J2" s="2" t="s">
        <v>26</v>
      </c>
      <c r="K2" t="s">
        <v>40</v>
      </c>
      <c r="L2" t="s">
        <v>38</v>
      </c>
      <c r="N2" s="2" t="s">
        <v>26</v>
      </c>
      <c r="O2" t="s">
        <v>40</v>
      </c>
      <c r="P2" t="s">
        <v>38</v>
      </c>
      <c r="Q2" t="s">
        <v>58</v>
      </c>
      <c r="S2" s="2" t="s">
        <v>26</v>
      </c>
      <c r="T2" t="s">
        <v>58</v>
      </c>
      <c r="U2">
        <f>GETPIVOTDATA("Order_ID",$S$2)</f>
        <v>500</v>
      </c>
    </row>
    <row r="3" spans="2:21" x14ac:dyDescent="0.25">
      <c r="B3" t="s">
        <v>35</v>
      </c>
      <c r="C3">
        <f>SUM('Retail Sales &amp; Profit Analysis '!P1:P501)</f>
        <v>99063.773499999836</v>
      </c>
      <c r="E3" s="3" t="s">
        <v>21</v>
      </c>
      <c r="F3" s="7">
        <v>81211.251499999926</v>
      </c>
      <c r="G3" s="7">
        <v>27633.011499999971</v>
      </c>
      <c r="H3" t="str">
        <f>TEXT(GETPIVOTDATA("Sum of Profit",$E$2),"#,##0")</f>
        <v>99,064</v>
      </c>
      <c r="J3" s="3" t="s">
        <v>44</v>
      </c>
      <c r="K3" s="7">
        <v>68160.532499999914</v>
      </c>
      <c r="L3" s="7">
        <v>211750.58249999984</v>
      </c>
      <c r="N3" s="3">
        <v>3044</v>
      </c>
      <c r="O3" s="7">
        <v>2456.1219999999898</v>
      </c>
      <c r="P3" s="7">
        <v>3785.3819999999901</v>
      </c>
      <c r="Q3" s="7">
        <v>4</v>
      </c>
      <c r="S3" s="3">
        <v>3001</v>
      </c>
      <c r="T3" s="7">
        <v>1</v>
      </c>
    </row>
    <row r="4" spans="2:21" x14ac:dyDescent="0.25">
      <c r="E4" s="3" t="s">
        <v>23</v>
      </c>
      <c r="F4" s="7">
        <v>71096.773999999947</v>
      </c>
      <c r="G4" s="7">
        <v>19646.413999999961</v>
      </c>
      <c r="J4" s="4" t="s">
        <v>54</v>
      </c>
      <c r="K4" s="7">
        <v>10800.577999999985</v>
      </c>
      <c r="L4" s="7">
        <v>20405.617999999995</v>
      </c>
      <c r="N4" s="3">
        <v>3811</v>
      </c>
      <c r="O4" s="7">
        <v>2358.9954999999991</v>
      </c>
      <c r="P4" s="7">
        <v>3776.2654999999991</v>
      </c>
      <c r="Q4" s="7">
        <v>3</v>
      </c>
      <c r="S4" s="3">
        <v>3005</v>
      </c>
      <c r="T4" s="7">
        <v>2</v>
      </c>
    </row>
    <row r="5" spans="2:21" x14ac:dyDescent="0.25">
      <c r="E5" s="3" t="s">
        <v>17</v>
      </c>
      <c r="F5" s="7">
        <v>71032.138999999937</v>
      </c>
      <c r="G5" s="7">
        <v>24025.968999999957</v>
      </c>
      <c r="J5" s="4" t="s">
        <v>51</v>
      </c>
      <c r="K5" s="7">
        <v>9437.5099999999948</v>
      </c>
      <c r="L5" s="7">
        <v>21368.689999999995</v>
      </c>
      <c r="N5" s="3">
        <v>3448</v>
      </c>
      <c r="O5" s="7">
        <v>2458.1574999999903</v>
      </c>
      <c r="P5" s="7">
        <v>3154.1774999999902</v>
      </c>
      <c r="Q5" s="7">
        <v>2</v>
      </c>
      <c r="S5" s="3">
        <v>3006</v>
      </c>
      <c r="T5" s="7">
        <v>1</v>
      </c>
    </row>
    <row r="6" spans="2:21" x14ac:dyDescent="0.25">
      <c r="E6" s="3" t="s">
        <v>29</v>
      </c>
      <c r="F6" s="7">
        <v>71008.218999999939</v>
      </c>
      <c r="G6" s="7">
        <v>27758.378999999975</v>
      </c>
      <c r="J6" s="4" t="s">
        <v>49</v>
      </c>
      <c r="K6" s="7">
        <v>7792.0664999999872</v>
      </c>
      <c r="L6" s="7">
        <v>21678.336499999994</v>
      </c>
      <c r="N6" s="3">
        <v>3745</v>
      </c>
      <c r="O6" s="7">
        <v>1669.389999999999</v>
      </c>
      <c r="P6" s="7">
        <v>2510.5499999999902</v>
      </c>
      <c r="Q6" s="7">
        <v>2</v>
      </c>
      <c r="S6" s="3">
        <v>3008</v>
      </c>
      <c r="T6" s="7">
        <v>1</v>
      </c>
    </row>
    <row r="7" spans="2:21" x14ac:dyDescent="0.25">
      <c r="B7" s="2" t="s">
        <v>36</v>
      </c>
      <c r="C7" t="s">
        <v>38</v>
      </c>
      <c r="E7" s="3" t="s">
        <v>37</v>
      </c>
      <c r="F7" s="7">
        <v>294348.38349999976</v>
      </c>
      <c r="G7" s="7">
        <v>99063.773499999865</v>
      </c>
      <c r="J7" s="4" t="s">
        <v>52</v>
      </c>
      <c r="K7" s="7">
        <v>7626.4734999999746</v>
      </c>
      <c r="L7" s="7">
        <v>21150.483499999962</v>
      </c>
      <c r="N7" s="3">
        <v>3260</v>
      </c>
      <c r="O7" s="7">
        <v>1847.549</v>
      </c>
      <c r="P7" s="7">
        <v>2457.8189999999995</v>
      </c>
      <c r="Q7" s="7">
        <v>3</v>
      </c>
      <c r="S7" s="3">
        <v>3011</v>
      </c>
      <c r="T7" s="7">
        <v>1</v>
      </c>
    </row>
    <row r="8" spans="2:21" x14ac:dyDescent="0.25">
      <c r="B8" s="3" t="s">
        <v>28</v>
      </c>
      <c r="C8" s="7">
        <v>48250.289499999999</v>
      </c>
      <c r="J8" s="4" t="s">
        <v>46</v>
      </c>
      <c r="K8" s="7">
        <v>7084.7134999999971</v>
      </c>
      <c r="L8" s="7">
        <v>18495.753499999992</v>
      </c>
      <c r="N8" s="3">
        <v>3969</v>
      </c>
      <c r="O8" s="7">
        <v>1527.751999999999</v>
      </c>
      <c r="P8" s="7">
        <v>2439.1320000000001</v>
      </c>
      <c r="Q8" s="7">
        <v>3</v>
      </c>
      <c r="S8" s="3">
        <v>3012</v>
      </c>
      <c r="T8" s="7">
        <v>1</v>
      </c>
    </row>
    <row r="9" spans="2:21" x14ac:dyDescent="0.25">
      <c r="B9" s="3" t="s">
        <v>20</v>
      </c>
      <c r="C9" s="7">
        <v>46515.5075</v>
      </c>
      <c r="E9" s="2" t="s">
        <v>26</v>
      </c>
      <c r="F9" t="s">
        <v>38</v>
      </c>
      <c r="G9" t="s">
        <v>40</v>
      </c>
      <c r="H9" t="s">
        <v>41</v>
      </c>
      <c r="J9" s="4" t="s">
        <v>53</v>
      </c>
      <c r="K9" s="7">
        <v>5820.2939999999971</v>
      </c>
      <c r="L9" s="7">
        <v>14660.303999999996</v>
      </c>
      <c r="N9" s="3">
        <v>3331</v>
      </c>
      <c r="O9" s="7">
        <v>1453.440000000001</v>
      </c>
      <c r="P9" s="7">
        <v>2170.52</v>
      </c>
      <c r="Q9" s="7">
        <v>2</v>
      </c>
      <c r="S9" s="3">
        <v>3016</v>
      </c>
      <c r="T9" s="7">
        <v>1</v>
      </c>
    </row>
    <row r="10" spans="2:21" x14ac:dyDescent="0.25">
      <c r="B10" s="3" t="s">
        <v>30</v>
      </c>
      <c r="C10" s="7">
        <v>44334.661499999936</v>
      </c>
      <c r="E10" s="3" t="s">
        <v>19</v>
      </c>
      <c r="F10" s="7">
        <v>70280.491999999955</v>
      </c>
      <c r="G10" s="7">
        <v>27922.271999999975</v>
      </c>
      <c r="H10" s="7">
        <v>3.9331235431832532</v>
      </c>
      <c r="J10" s="4" t="s">
        <v>47</v>
      </c>
      <c r="K10" s="7">
        <v>5171.7884999999915</v>
      </c>
      <c r="L10" s="7">
        <v>18895.978499999987</v>
      </c>
      <c r="N10" s="3">
        <v>3539</v>
      </c>
      <c r="O10" s="7">
        <v>1881.54</v>
      </c>
      <c r="P10" s="7">
        <v>2107.62</v>
      </c>
      <c r="Q10" s="7">
        <v>1</v>
      </c>
      <c r="S10" s="3">
        <v>3018</v>
      </c>
      <c r="T10" s="7">
        <v>1</v>
      </c>
    </row>
    <row r="11" spans="2:21" x14ac:dyDescent="0.25">
      <c r="B11" s="3" t="s">
        <v>37</v>
      </c>
      <c r="C11" s="7">
        <v>139100.45849999992</v>
      </c>
      <c r="E11" s="3" t="s">
        <v>25</v>
      </c>
      <c r="F11" s="7">
        <v>66941.269499999951</v>
      </c>
      <c r="G11" s="7">
        <v>22532.879499999966</v>
      </c>
      <c r="H11" s="7">
        <v>-15.72179772592102</v>
      </c>
      <c r="J11" s="4" t="s">
        <v>48</v>
      </c>
      <c r="K11" s="7">
        <v>3954.8374999999892</v>
      </c>
      <c r="L11" s="7">
        <v>13665.40749999997</v>
      </c>
      <c r="N11" s="3">
        <v>3045</v>
      </c>
      <c r="O11" s="7">
        <v>1525.907999999999</v>
      </c>
      <c r="P11" s="7">
        <v>2101.2579999999989</v>
      </c>
      <c r="Q11" s="7">
        <v>2</v>
      </c>
      <c r="S11" s="3">
        <v>3019</v>
      </c>
      <c r="T11" s="7">
        <v>1</v>
      </c>
    </row>
    <row r="12" spans="2:21" x14ac:dyDescent="0.25">
      <c r="E12" s="3" t="s">
        <v>26</v>
      </c>
      <c r="F12" s="7">
        <v>72390.126999999949</v>
      </c>
      <c r="G12" s="7">
        <v>20360.146999999964</v>
      </c>
      <c r="H12" s="7">
        <v>-22.062244493179296</v>
      </c>
      <c r="J12" s="4" t="s">
        <v>50</v>
      </c>
      <c r="K12" s="7">
        <v>3519.6070000000004</v>
      </c>
      <c r="L12" s="7">
        <v>18623.816999999985</v>
      </c>
      <c r="N12" s="3">
        <v>3230</v>
      </c>
      <c r="O12" s="7">
        <v>1504.2419999999988</v>
      </c>
      <c r="P12" s="7">
        <v>1959.601999999999</v>
      </c>
      <c r="Q12" s="7">
        <v>3</v>
      </c>
      <c r="S12" s="3">
        <v>3021</v>
      </c>
      <c r="T12" s="7">
        <v>1</v>
      </c>
    </row>
    <row r="13" spans="2:21" x14ac:dyDescent="0.25">
      <c r="B13" s="2" t="s">
        <v>36</v>
      </c>
      <c r="C13" t="s">
        <v>39</v>
      </c>
      <c r="E13" s="3" t="s">
        <v>33</v>
      </c>
      <c r="F13" s="7">
        <v>84736.494999999923</v>
      </c>
      <c r="G13" s="7">
        <v>28248.474999999962</v>
      </c>
      <c r="H13" s="7">
        <v>-23.828828754381448</v>
      </c>
      <c r="J13" s="4" t="s">
        <v>55</v>
      </c>
      <c r="K13" s="7">
        <v>2878.1564999999987</v>
      </c>
      <c r="L13" s="7">
        <v>12319.746499999988</v>
      </c>
      <c r="N13" s="3" t="s">
        <v>37</v>
      </c>
      <c r="O13" s="7">
        <v>18683.095999999976</v>
      </c>
      <c r="P13" s="7">
        <v>26462.325999999961</v>
      </c>
      <c r="Q13" s="7">
        <v>25</v>
      </c>
      <c r="S13" s="3">
        <v>3029</v>
      </c>
      <c r="T13" s="7">
        <v>1</v>
      </c>
    </row>
    <row r="14" spans="2:21" x14ac:dyDescent="0.25">
      <c r="B14" s="3" t="s">
        <v>28</v>
      </c>
      <c r="C14" s="7">
        <v>410</v>
      </c>
      <c r="E14" s="3" t="s">
        <v>37</v>
      </c>
      <c r="F14" s="7">
        <v>294348.38349999976</v>
      </c>
      <c r="G14" s="7">
        <v>99063.773499999792</v>
      </c>
      <c r="H14" s="7">
        <v>-15.104435464079263</v>
      </c>
      <c r="J14" s="4" t="s">
        <v>56</v>
      </c>
      <c r="K14" s="7">
        <v>2045.1114999999957</v>
      </c>
      <c r="L14" s="7">
        <v>15132.011499999991</v>
      </c>
      <c r="S14" s="3">
        <v>3033</v>
      </c>
      <c r="T14" s="7">
        <v>2</v>
      </c>
    </row>
    <row r="15" spans="2:21" x14ac:dyDescent="0.25">
      <c r="B15" s="3" t="s">
        <v>20</v>
      </c>
      <c r="C15" s="7">
        <v>383</v>
      </c>
      <c r="J15" s="4" t="s">
        <v>45</v>
      </c>
      <c r="K15" s="7">
        <v>2029.3959999999968</v>
      </c>
      <c r="L15" s="7">
        <v>15354.435999999996</v>
      </c>
      <c r="N15" t="s">
        <v>39</v>
      </c>
      <c r="S15" s="3">
        <v>3035</v>
      </c>
      <c r="T15" s="7">
        <v>2</v>
      </c>
    </row>
    <row r="16" spans="2:21" x14ac:dyDescent="0.25">
      <c r="B16" s="3" t="s">
        <v>31</v>
      </c>
      <c r="C16" s="7">
        <v>380</v>
      </c>
      <c r="E16" s="2" t="s">
        <v>26</v>
      </c>
      <c r="F16" t="s">
        <v>38</v>
      </c>
      <c r="G16" t="s">
        <v>40</v>
      </c>
      <c r="H16" t="s">
        <v>39</v>
      </c>
      <c r="J16" s="3" t="s">
        <v>57</v>
      </c>
      <c r="K16" s="7">
        <v>30903.240999999962</v>
      </c>
      <c r="L16" s="7">
        <v>82597.80099999989</v>
      </c>
      <c r="N16" s="7">
        <v>2467</v>
      </c>
      <c r="O16">
        <f>GETPIVOTDATA("Quantity",$N$15)</f>
        <v>2467</v>
      </c>
      <c r="S16" s="3">
        <v>3036</v>
      </c>
      <c r="T16" s="7">
        <v>1</v>
      </c>
    </row>
    <row r="17" spans="2:20" x14ac:dyDescent="0.25">
      <c r="B17" s="3" t="s">
        <v>37</v>
      </c>
      <c r="C17" s="7">
        <v>1173</v>
      </c>
      <c r="E17" s="3" t="s">
        <v>24</v>
      </c>
      <c r="F17" s="7">
        <v>149653.94749999986</v>
      </c>
      <c r="G17" s="7">
        <v>48112.227499999928</v>
      </c>
      <c r="H17" s="7">
        <v>1273</v>
      </c>
      <c r="J17" s="4" t="s">
        <v>45</v>
      </c>
      <c r="K17" s="7">
        <v>9268.6359999999822</v>
      </c>
      <c r="L17" s="7">
        <v>20090.045999999951</v>
      </c>
      <c r="S17" s="3">
        <v>3039</v>
      </c>
      <c r="T17" s="7">
        <v>1</v>
      </c>
    </row>
    <row r="18" spans="2:20" x14ac:dyDescent="0.25">
      <c r="E18" s="3" t="s">
        <v>18</v>
      </c>
      <c r="F18" s="7">
        <v>144694.4359999999</v>
      </c>
      <c r="G18" s="7">
        <v>50951.545999999929</v>
      </c>
      <c r="H18" s="7">
        <v>1194</v>
      </c>
      <c r="J18" s="4" t="s">
        <v>46</v>
      </c>
      <c r="K18" s="7">
        <v>8965.1434999999856</v>
      </c>
      <c r="L18" s="7">
        <v>19512.253499999973</v>
      </c>
      <c r="S18" s="3">
        <v>3042</v>
      </c>
      <c r="T18" s="7">
        <v>1</v>
      </c>
    </row>
    <row r="19" spans="2:20" x14ac:dyDescent="0.25">
      <c r="B19" s="2" t="s">
        <v>36</v>
      </c>
      <c r="C19" t="s">
        <v>38</v>
      </c>
      <c r="E19" s="3" t="s">
        <v>37</v>
      </c>
      <c r="F19" s="7">
        <v>294348.38349999976</v>
      </c>
      <c r="G19" s="7">
        <v>99063.773499999865</v>
      </c>
      <c r="H19" s="7">
        <v>2467</v>
      </c>
      <c r="J19" s="4" t="s">
        <v>49</v>
      </c>
      <c r="K19" s="7">
        <v>5043.3964999999998</v>
      </c>
      <c r="L19" s="7">
        <v>9476.0064999999886</v>
      </c>
      <c r="S19" s="3">
        <v>3044</v>
      </c>
      <c r="T19" s="7">
        <v>4</v>
      </c>
    </row>
    <row r="20" spans="2:20" x14ac:dyDescent="0.25">
      <c r="B20" s="3" t="s">
        <v>21</v>
      </c>
      <c r="C20" s="7">
        <v>81211.251499999926</v>
      </c>
      <c r="J20" s="4" t="s">
        <v>48</v>
      </c>
      <c r="K20" s="7">
        <v>3968.6864999999966</v>
      </c>
      <c r="L20" s="7">
        <v>17029.756499999996</v>
      </c>
      <c r="S20" s="3">
        <v>3045</v>
      </c>
      <c r="T20" s="7">
        <v>2</v>
      </c>
    </row>
    <row r="21" spans="2:20" x14ac:dyDescent="0.25">
      <c r="B21" s="3" t="s">
        <v>23</v>
      </c>
      <c r="C21" s="7">
        <v>71096.773999999947</v>
      </c>
      <c r="E21" s="2" t="s">
        <v>26</v>
      </c>
      <c r="F21" t="s">
        <v>42</v>
      </c>
      <c r="G21" t="s">
        <v>43</v>
      </c>
      <c r="J21" s="4" t="s">
        <v>47</v>
      </c>
      <c r="K21" s="7">
        <v>3657.3784999999998</v>
      </c>
      <c r="L21" s="7">
        <v>16489.738499999989</v>
      </c>
      <c r="S21" s="3">
        <v>3047</v>
      </c>
      <c r="T21" s="7">
        <v>1</v>
      </c>
    </row>
    <row r="22" spans="2:20" x14ac:dyDescent="0.25">
      <c r="B22" s="3" t="s">
        <v>17</v>
      </c>
      <c r="C22" s="7">
        <v>71032.138999999937</v>
      </c>
      <c r="E22" s="3">
        <v>0</v>
      </c>
      <c r="F22" s="7">
        <v>310.98144230769208</v>
      </c>
      <c r="G22" s="7">
        <v>717.47057692307635</v>
      </c>
      <c r="J22" s="3" t="s">
        <v>37</v>
      </c>
      <c r="K22" s="7">
        <v>99063.773499999894</v>
      </c>
      <c r="L22" s="7">
        <v>294348.38349999976</v>
      </c>
      <c r="S22" s="3">
        <v>3049</v>
      </c>
      <c r="T22" s="7">
        <v>2</v>
      </c>
    </row>
    <row r="23" spans="2:20" x14ac:dyDescent="0.25">
      <c r="B23" s="3" t="s">
        <v>29</v>
      </c>
      <c r="C23" s="7">
        <v>71008.218999999939</v>
      </c>
      <c r="E23" s="3">
        <v>10</v>
      </c>
      <c r="F23" s="7">
        <v>233.50509009008962</v>
      </c>
      <c r="G23" s="7">
        <v>594.93770270270238</v>
      </c>
      <c r="S23" s="3">
        <v>3067</v>
      </c>
      <c r="T23" s="7">
        <v>1</v>
      </c>
    </row>
    <row r="24" spans="2:20" x14ac:dyDescent="0.25">
      <c r="B24" s="3" t="s">
        <v>37</v>
      </c>
      <c r="C24" s="7">
        <v>294348.38349999976</v>
      </c>
      <c r="E24" s="3">
        <v>5</v>
      </c>
      <c r="F24" s="7">
        <v>224.2678705882349</v>
      </c>
      <c r="G24" s="7">
        <v>634.62481176470578</v>
      </c>
      <c r="J24" s="2" t="s">
        <v>26</v>
      </c>
      <c r="K24" t="s">
        <v>38</v>
      </c>
      <c r="L24" t="s">
        <v>40</v>
      </c>
      <c r="S24" s="3">
        <v>3068</v>
      </c>
      <c r="T24" s="7">
        <v>3</v>
      </c>
    </row>
    <row r="25" spans="2:20" x14ac:dyDescent="0.25">
      <c r="E25" s="3">
        <v>20</v>
      </c>
      <c r="F25" s="7">
        <v>162.21602222222191</v>
      </c>
      <c r="G25" s="7">
        <v>526.07146666666608</v>
      </c>
      <c r="J25" s="3" t="s">
        <v>32</v>
      </c>
      <c r="K25" s="7">
        <v>37457.424499999972</v>
      </c>
      <c r="L25" s="7">
        <v>13078.384499999969</v>
      </c>
      <c r="S25" s="3">
        <v>3069</v>
      </c>
      <c r="T25" s="7">
        <v>1</v>
      </c>
    </row>
    <row r="26" spans="2:20" x14ac:dyDescent="0.25">
      <c r="E26" s="3">
        <v>15</v>
      </c>
      <c r="F26" s="7">
        <v>64.912977272727275</v>
      </c>
      <c r="G26" s="7">
        <v>476.39834090909073</v>
      </c>
      <c r="J26" s="3" t="s">
        <v>27</v>
      </c>
      <c r="K26" s="7">
        <v>42961.70949999999</v>
      </c>
      <c r="L26" s="7">
        <v>15315.539499999999</v>
      </c>
      <c r="S26" s="3">
        <v>3072</v>
      </c>
      <c r="T26" s="7">
        <v>1</v>
      </c>
    </row>
    <row r="27" spans="2:20" x14ac:dyDescent="0.25">
      <c r="E27" s="3" t="s">
        <v>37</v>
      </c>
      <c r="F27" s="7">
        <v>198.12754699999954</v>
      </c>
      <c r="G27" s="7">
        <v>588.69676700000002</v>
      </c>
      <c r="J27" s="3" t="s">
        <v>20</v>
      </c>
      <c r="K27" s="7">
        <v>46515.5075</v>
      </c>
      <c r="L27" s="7">
        <v>15625.957499999982</v>
      </c>
      <c r="S27" s="3">
        <v>3073</v>
      </c>
      <c r="T27" s="7">
        <v>1</v>
      </c>
    </row>
    <row r="28" spans="2:20" x14ac:dyDescent="0.25">
      <c r="J28" s="3" t="s">
        <v>31</v>
      </c>
      <c r="K28" s="7">
        <v>43706.118999999926</v>
      </c>
      <c r="L28" s="7">
        <v>14055.838999999987</v>
      </c>
      <c r="S28" s="3">
        <v>3075</v>
      </c>
      <c r="T28" s="7">
        <v>1</v>
      </c>
    </row>
    <row r="29" spans="2:20" x14ac:dyDescent="0.25">
      <c r="E29" s="2" t="s">
        <v>26</v>
      </c>
      <c r="F29" t="s">
        <v>41</v>
      </c>
      <c r="J29" s="3" t="s">
        <v>28</v>
      </c>
      <c r="K29" s="7">
        <v>48250.289499999999</v>
      </c>
      <c r="L29" s="7">
        <v>14853.969499999994</v>
      </c>
      <c r="S29" s="3">
        <v>3076</v>
      </c>
      <c r="T29" s="7">
        <v>1</v>
      </c>
    </row>
    <row r="30" spans="2:20" x14ac:dyDescent="0.25">
      <c r="E30" s="3" t="s">
        <v>32</v>
      </c>
      <c r="F30" s="7">
        <v>-34.443996596452067</v>
      </c>
      <c r="J30" s="3" t="s">
        <v>30</v>
      </c>
      <c r="K30" s="7">
        <v>44334.661499999936</v>
      </c>
      <c r="L30" s="7">
        <v>17605.211499999965</v>
      </c>
      <c r="S30" s="3">
        <v>3077</v>
      </c>
      <c r="T30" s="7">
        <v>1</v>
      </c>
    </row>
    <row r="31" spans="2:20" x14ac:dyDescent="0.25">
      <c r="E31" s="3" t="s">
        <v>27</v>
      </c>
      <c r="F31" s="7">
        <v>-1.2948908512649073</v>
      </c>
      <c r="J31" s="3" t="s">
        <v>22</v>
      </c>
      <c r="K31" s="7">
        <v>31122.671999999973</v>
      </c>
      <c r="L31" s="7">
        <v>8528.8719999999776</v>
      </c>
      <c r="S31" s="3">
        <v>3078</v>
      </c>
      <c r="T31" s="7">
        <v>1</v>
      </c>
    </row>
    <row r="32" spans="2:20" x14ac:dyDescent="0.25">
      <c r="E32" s="3" t="s">
        <v>20</v>
      </c>
      <c r="F32" s="7">
        <v>-22.663420313095443</v>
      </c>
      <c r="S32" s="3">
        <v>3083</v>
      </c>
      <c r="T32" s="7">
        <v>1</v>
      </c>
    </row>
    <row r="33" spans="5:20" x14ac:dyDescent="0.25">
      <c r="E33" s="3" t="s">
        <v>31</v>
      </c>
      <c r="F33" s="7">
        <v>-23.341127504334086</v>
      </c>
      <c r="S33" s="3">
        <v>3084</v>
      </c>
      <c r="T33" s="7">
        <v>1</v>
      </c>
    </row>
    <row r="34" spans="5:20" x14ac:dyDescent="0.25">
      <c r="E34" s="3" t="s">
        <v>28</v>
      </c>
      <c r="F34" s="7">
        <v>-2.9672568648808952</v>
      </c>
      <c r="S34" s="3">
        <v>3085</v>
      </c>
      <c r="T34" s="7">
        <v>2</v>
      </c>
    </row>
    <row r="35" spans="5:20" x14ac:dyDescent="0.25">
      <c r="E35" s="3" t="s">
        <v>30</v>
      </c>
      <c r="F35" s="7">
        <v>15.764982201745529</v>
      </c>
      <c r="S35" s="3">
        <v>3088</v>
      </c>
      <c r="T35" s="7">
        <v>1</v>
      </c>
    </row>
    <row r="36" spans="5:20" x14ac:dyDescent="0.25">
      <c r="E36" s="3" t="s">
        <v>22</v>
      </c>
      <c r="F36" s="7">
        <v>-42.260271917210474</v>
      </c>
      <c r="S36" s="3">
        <v>3091</v>
      </c>
      <c r="T36" s="7">
        <v>1</v>
      </c>
    </row>
    <row r="37" spans="5:20" x14ac:dyDescent="0.25">
      <c r="S37" s="3">
        <v>3092</v>
      </c>
      <c r="T37" s="7">
        <v>2</v>
      </c>
    </row>
    <row r="38" spans="5:20" x14ac:dyDescent="0.25">
      <c r="S38" s="3">
        <v>3095</v>
      </c>
      <c r="T38" s="7">
        <v>1</v>
      </c>
    </row>
    <row r="39" spans="5:20" x14ac:dyDescent="0.25">
      <c r="S39" s="3">
        <v>3100</v>
      </c>
      <c r="T39" s="7">
        <v>1</v>
      </c>
    </row>
    <row r="40" spans="5:20" x14ac:dyDescent="0.25">
      <c r="S40" s="3">
        <v>3102</v>
      </c>
      <c r="T40" s="7">
        <v>1</v>
      </c>
    </row>
    <row r="41" spans="5:20" x14ac:dyDescent="0.25">
      <c r="S41" s="3">
        <v>3103</v>
      </c>
      <c r="T41" s="7">
        <v>1</v>
      </c>
    </row>
    <row r="42" spans="5:20" x14ac:dyDescent="0.25">
      <c r="S42" s="3">
        <v>3104</v>
      </c>
      <c r="T42" s="7">
        <v>1</v>
      </c>
    </row>
    <row r="43" spans="5:20" x14ac:dyDescent="0.25">
      <c r="S43" s="3">
        <v>3105</v>
      </c>
      <c r="T43" s="7">
        <v>1</v>
      </c>
    </row>
    <row r="44" spans="5:20" x14ac:dyDescent="0.25">
      <c r="S44" s="3">
        <v>3106</v>
      </c>
      <c r="T44" s="7">
        <v>1</v>
      </c>
    </row>
    <row r="45" spans="5:20" x14ac:dyDescent="0.25">
      <c r="S45" s="3">
        <v>3107</v>
      </c>
      <c r="T45" s="7">
        <v>1</v>
      </c>
    </row>
    <row r="46" spans="5:20" x14ac:dyDescent="0.25">
      <c r="S46" s="3">
        <v>3111</v>
      </c>
      <c r="T46" s="7">
        <v>1</v>
      </c>
    </row>
    <row r="47" spans="5:20" x14ac:dyDescent="0.25">
      <c r="S47" s="3">
        <v>3112</v>
      </c>
      <c r="T47" s="7">
        <v>1</v>
      </c>
    </row>
    <row r="48" spans="5:20" x14ac:dyDescent="0.25">
      <c r="S48" s="3">
        <v>3121</v>
      </c>
      <c r="T48" s="7">
        <v>1</v>
      </c>
    </row>
    <row r="49" spans="19:20" x14ac:dyDescent="0.25">
      <c r="S49" s="3">
        <v>3123</v>
      </c>
      <c r="T49" s="7">
        <v>1</v>
      </c>
    </row>
    <row r="50" spans="19:20" x14ac:dyDescent="0.25">
      <c r="S50" s="3">
        <v>3124</v>
      </c>
      <c r="T50" s="7">
        <v>1</v>
      </c>
    </row>
    <row r="51" spans="19:20" x14ac:dyDescent="0.25">
      <c r="S51" s="3">
        <v>3126</v>
      </c>
      <c r="T51" s="7">
        <v>1</v>
      </c>
    </row>
    <row r="52" spans="19:20" x14ac:dyDescent="0.25">
      <c r="S52" s="3">
        <v>3129</v>
      </c>
      <c r="T52" s="7">
        <v>1</v>
      </c>
    </row>
    <row r="53" spans="19:20" x14ac:dyDescent="0.25">
      <c r="S53" s="3">
        <v>3130</v>
      </c>
      <c r="T53" s="7">
        <v>1</v>
      </c>
    </row>
    <row r="54" spans="19:20" x14ac:dyDescent="0.25">
      <c r="S54" s="3">
        <v>3131</v>
      </c>
      <c r="T54" s="7">
        <v>1</v>
      </c>
    </row>
    <row r="55" spans="19:20" x14ac:dyDescent="0.25">
      <c r="S55" s="3">
        <v>3136</v>
      </c>
      <c r="T55" s="7">
        <v>1</v>
      </c>
    </row>
    <row r="56" spans="19:20" x14ac:dyDescent="0.25">
      <c r="S56" s="3">
        <v>3137</v>
      </c>
      <c r="T56" s="7">
        <v>1</v>
      </c>
    </row>
    <row r="57" spans="19:20" x14ac:dyDescent="0.25">
      <c r="S57" s="3">
        <v>3139</v>
      </c>
      <c r="T57" s="7">
        <v>1</v>
      </c>
    </row>
    <row r="58" spans="19:20" x14ac:dyDescent="0.25">
      <c r="S58" s="3">
        <v>3143</v>
      </c>
      <c r="T58" s="7">
        <v>1</v>
      </c>
    </row>
    <row r="59" spans="19:20" x14ac:dyDescent="0.25">
      <c r="S59" s="3">
        <v>3144</v>
      </c>
      <c r="T59" s="7">
        <v>1</v>
      </c>
    </row>
    <row r="60" spans="19:20" x14ac:dyDescent="0.25">
      <c r="S60" s="3">
        <v>3151</v>
      </c>
      <c r="T60" s="7">
        <v>1</v>
      </c>
    </row>
    <row r="61" spans="19:20" x14ac:dyDescent="0.25">
      <c r="S61" s="3">
        <v>3152</v>
      </c>
      <c r="T61" s="7">
        <v>2</v>
      </c>
    </row>
    <row r="62" spans="19:20" x14ac:dyDescent="0.25">
      <c r="S62" s="3">
        <v>3156</v>
      </c>
      <c r="T62" s="7">
        <v>1</v>
      </c>
    </row>
    <row r="63" spans="19:20" x14ac:dyDescent="0.25">
      <c r="S63" s="3">
        <v>3157</v>
      </c>
      <c r="T63" s="7">
        <v>1</v>
      </c>
    </row>
    <row r="64" spans="19:20" x14ac:dyDescent="0.25">
      <c r="S64" s="3">
        <v>3160</v>
      </c>
      <c r="T64" s="7">
        <v>1</v>
      </c>
    </row>
    <row r="65" spans="19:20" x14ac:dyDescent="0.25">
      <c r="S65" s="3">
        <v>3161</v>
      </c>
      <c r="T65" s="7">
        <v>2</v>
      </c>
    </row>
    <row r="66" spans="19:20" x14ac:dyDescent="0.25">
      <c r="S66" s="3">
        <v>3167</v>
      </c>
      <c r="T66" s="7">
        <v>1</v>
      </c>
    </row>
    <row r="67" spans="19:20" x14ac:dyDescent="0.25">
      <c r="S67" s="3">
        <v>3169</v>
      </c>
      <c r="T67" s="7">
        <v>1</v>
      </c>
    </row>
    <row r="68" spans="19:20" x14ac:dyDescent="0.25">
      <c r="S68" s="3">
        <v>3175</v>
      </c>
      <c r="T68" s="7">
        <v>1</v>
      </c>
    </row>
    <row r="69" spans="19:20" x14ac:dyDescent="0.25">
      <c r="S69" s="3">
        <v>3176</v>
      </c>
      <c r="T69" s="7">
        <v>1</v>
      </c>
    </row>
    <row r="70" spans="19:20" x14ac:dyDescent="0.25">
      <c r="S70" s="3">
        <v>3178</v>
      </c>
      <c r="T70" s="7">
        <v>1</v>
      </c>
    </row>
    <row r="71" spans="19:20" x14ac:dyDescent="0.25">
      <c r="S71" s="3">
        <v>3180</v>
      </c>
      <c r="T71" s="7">
        <v>1</v>
      </c>
    </row>
    <row r="72" spans="19:20" x14ac:dyDescent="0.25">
      <c r="S72" s="3">
        <v>3181</v>
      </c>
      <c r="T72" s="7">
        <v>1</v>
      </c>
    </row>
    <row r="73" spans="19:20" x14ac:dyDescent="0.25">
      <c r="S73" s="3">
        <v>3182</v>
      </c>
      <c r="T73" s="7">
        <v>1</v>
      </c>
    </row>
    <row r="74" spans="19:20" x14ac:dyDescent="0.25">
      <c r="S74" s="3">
        <v>3183</v>
      </c>
      <c r="T74" s="7">
        <v>3</v>
      </c>
    </row>
    <row r="75" spans="19:20" x14ac:dyDescent="0.25">
      <c r="S75" s="3">
        <v>3184</v>
      </c>
      <c r="T75" s="7">
        <v>2</v>
      </c>
    </row>
    <row r="76" spans="19:20" x14ac:dyDescent="0.25">
      <c r="S76" s="3">
        <v>3185</v>
      </c>
      <c r="T76" s="7">
        <v>1</v>
      </c>
    </row>
    <row r="77" spans="19:20" x14ac:dyDescent="0.25">
      <c r="S77" s="3">
        <v>3189</v>
      </c>
      <c r="T77" s="7">
        <v>1</v>
      </c>
    </row>
    <row r="78" spans="19:20" x14ac:dyDescent="0.25">
      <c r="S78" s="3">
        <v>3190</v>
      </c>
      <c r="T78" s="7">
        <v>2</v>
      </c>
    </row>
    <row r="79" spans="19:20" x14ac:dyDescent="0.25">
      <c r="S79" s="3">
        <v>3194</v>
      </c>
      <c r="T79" s="7">
        <v>1</v>
      </c>
    </row>
    <row r="80" spans="19:20" x14ac:dyDescent="0.25">
      <c r="S80" s="3">
        <v>3195</v>
      </c>
      <c r="T80" s="7">
        <v>2</v>
      </c>
    </row>
    <row r="81" spans="19:20" x14ac:dyDescent="0.25">
      <c r="S81" s="3">
        <v>3196</v>
      </c>
      <c r="T81" s="7">
        <v>1</v>
      </c>
    </row>
    <row r="82" spans="19:20" x14ac:dyDescent="0.25">
      <c r="S82" s="3">
        <v>3197</v>
      </c>
      <c r="T82" s="7">
        <v>1</v>
      </c>
    </row>
    <row r="83" spans="19:20" x14ac:dyDescent="0.25">
      <c r="S83" s="3">
        <v>3198</v>
      </c>
      <c r="T83" s="7">
        <v>1</v>
      </c>
    </row>
    <row r="84" spans="19:20" x14ac:dyDescent="0.25">
      <c r="S84" s="3">
        <v>3201</v>
      </c>
      <c r="T84" s="7">
        <v>1</v>
      </c>
    </row>
    <row r="85" spans="19:20" x14ac:dyDescent="0.25">
      <c r="S85" s="3">
        <v>3203</v>
      </c>
      <c r="T85" s="7">
        <v>1</v>
      </c>
    </row>
    <row r="86" spans="19:20" x14ac:dyDescent="0.25">
      <c r="S86" s="3">
        <v>3206</v>
      </c>
      <c r="T86" s="7">
        <v>1</v>
      </c>
    </row>
    <row r="87" spans="19:20" x14ac:dyDescent="0.25">
      <c r="S87" s="3">
        <v>3208</v>
      </c>
      <c r="T87" s="7">
        <v>1</v>
      </c>
    </row>
    <row r="88" spans="19:20" x14ac:dyDescent="0.25">
      <c r="S88" s="3">
        <v>3210</v>
      </c>
      <c r="T88" s="7">
        <v>1</v>
      </c>
    </row>
    <row r="89" spans="19:20" x14ac:dyDescent="0.25">
      <c r="S89" s="3">
        <v>3211</v>
      </c>
      <c r="T89" s="7">
        <v>2</v>
      </c>
    </row>
    <row r="90" spans="19:20" x14ac:dyDescent="0.25">
      <c r="S90" s="3">
        <v>3212</v>
      </c>
      <c r="T90" s="7">
        <v>1</v>
      </c>
    </row>
    <row r="91" spans="19:20" x14ac:dyDescent="0.25">
      <c r="S91" s="3">
        <v>3215</v>
      </c>
      <c r="T91" s="7">
        <v>1</v>
      </c>
    </row>
    <row r="92" spans="19:20" x14ac:dyDescent="0.25">
      <c r="S92" s="3">
        <v>3219</v>
      </c>
      <c r="T92" s="7">
        <v>1</v>
      </c>
    </row>
    <row r="93" spans="19:20" x14ac:dyDescent="0.25">
      <c r="S93" s="3">
        <v>3224</v>
      </c>
      <c r="T93" s="7">
        <v>1</v>
      </c>
    </row>
    <row r="94" spans="19:20" x14ac:dyDescent="0.25">
      <c r="S94" s="3">
        <v>3225</v>
      </c>
      <c r="T94" s="7">
        <v>1</v>
      </c>
    </row>
    <row r="95" spans="19:20" x14ac:dyDescent="0.25">
      <c r="S95" s="3">
        <v>3226</v>
      </c>
      <c r="T95" s="7">
        <v>1</v>
      </c>
    </row>
    <row r="96" spans="19:20" x14ac:dyDescent="0.25">
      <c r="S96" s="3">
        <v>3227</v>
      </c>
      <c r="T96" s="7">
        <v>1</v>
      </c>
    </row>
    <row r="97" spans="19:20" x14ac:dyDescent="0.25">
      <c r="S97" s="3">
        <v>3230</v>
      </c>
      <c r="T97" s="7">
        <v>3</v>
      </c>
    </row>
    <row r="98" spans="19:20" x14ac:dyDescent="0.25">
      <c r="S98" s="3">
        <v>3231</v>
      </c>
      <c r="T98" s="7">
        <v>1</v>
      </c>
    </row>
    <row r="99" spans="19:20" x14ac:dyDescent="0.25">
      <c r="S99" s="3">
        <v>3233</v>
      </c>
      <c r="T99" s="7">
        <v>1</v>
      </c>
    </row>
    <row r="100" spans="19:20" x14ac:dyDescent="0.25">
      <c r="S100" s="3">
        <v>3234</v>
      </c>
      <c r="T100" s="7">
        <v>1</v>
      </c>
    </row>
    <row r="101" spans="19:20" x14ac:dyDescent="0.25">
      <c r="S101" s="3">
        <v>3238</v>
      </c>
      <c r="T101" s="7">
        <v>1</v>
      </c>
    </row>
    <row r="102" spans="19:20" x14ac:dyDescent="0.25">
      <c r="S102" s="3">
        <v>3241</v>
      </c>
      <c r="T102" s="7">
        <v>1</v>
      </c>
    </row>
    <row r="103" spans="19:20" x14ac:dyDescent="0.25">
      <c r="S103" s="3">
        <v>3246</v>
      </c>
      <c r="T103" s="7">
        <v>1</v>
      </c>
    </row>
    <row r="104" spans="19:20" x14ac:dyDescent="0.25">
      <c r="S104" s="3">
        <v>3247</v>
      </c>
      <c r="T104" s="7">
        <v>2</v>
      </c>
    </row>
    <row r="105" spans="19:20" x14ac:dyDescent="0.25">
      <c r="S105" s="3">
        <v>3250</v>
      </c>
      <c r="T105" s="7">
        <v>1</v>
      </c>
    </row>
    <row r="106" spans="19:20" x14ac:dyDescent="0.25">
      <c r="S106" s="3">
        <v>3255</v>
      </c>
      <c r="T106" s="7">
        <v>1</v>
      </c>
    </row>
    <row r="107" spans="19:20" x14ac:dyDescent="0.25">
      <c r="S107" s="3">
        <v>3257</v>
      </c>
      <c r="T107" s="7">
        <v>1</v>
      </c>
    </row>
    <row r="108" spans="19:20" x14ac:dyDescent="0.25">
      <c r="S108" s="3">
        <v>3260</v>
      </c>
      <c r="T108" s="7">
        <v>3</v>
      </c>
    </row>
    <row r="109" spans="19:20" x14ac:dyDescent="0.25">
      <c r="S109" s="3">
        <v>3265</v>
      </c>
      <c r="T109" s="7">
        <v>2</v>
      </c>
    </row>
    <row r="110" spans="19:20" x14ac:dyDescent="0.25">
      <c r="S110" s="3">
        <v>3266</v>
      </c>
      <c r="T110" s="7">
        <v>1</v>
      </c>
    </row>
    <row r="111" spans="19:20" x14ac:dyDescent="0.25">
      <c r="S111" s="3">
        <v>3267</v>
      </c>
      <c r="T111" s="7">
        <v>1</v>
      </c>
    </row>
    <row r="112" spans="19:20" x14ac:dyDescent="0.25">
      <c r="S112" s="3">
        <v>3268</v>
      </c>
      <c r="T112" s="7">
        <v>1</v>
      </c>
    </row>
    <row r="113" spans="19:20" x14ac:dyDescent="0.25">
      <c r="S113" s="3">
        <v>3269</v>
      </c>
      <c r="T113" s="7">
        <v>1</v>
      </c>
    </row>
    <row r="114" spans="19:20" x14ac:dyDescent="0.25">
      <c r="S114" s="3">
        <v>3274</v>
      </c>
      <c r="T114" s="7">
        <v>1</v>
      </c>
    </row>
    <row r="115" spans="19:20" x14ac:dyDescent="0.25">
      <c r="S115" s="3">
        <v>3275</v>
      </c>
      <c r="T115" s="7">
        <v>1</v>
      </c>
    </row>
    <row r="116" spans="19:20" x14ac:dyDescent="0.25">
      <c r="S116" s="3">
        <v>3276</v>
      </c>
      <c r="T116" s="7">
        <v>2</v>
      </c>
    </row>
    <row r="117" spans="19:20" x14ac:dyDescent="0.25">
      <c r="S117" s="3">
        <v>3279</v>
      </c>
      <c r="T117" s="7">
        <v>1</v>
      </c>
    </row>
    <row r="118" spans="19:20" x14ac:dyDescent="0.25">
      <c r="S118" s="3">
        <v>3282</v>
      </c>
      <c r="T118" s="7">
        <v>1</v>
      </c>
    </row>
    <row r="119" spans="19:20" x14ac:dyDescent="0.25">
      <c r="S119" s="3">
        <v>3286</v>
      </c>
      <c r="T119" s="7">
        <v>1</v>
      </c>
    </row>
    <row r="120" spans="19:20" x14ac:dyDescent="0.25">
      <c r="S120" s="3">
        <v>3287</v>
      </c>
      <c r="T120" s="7">
        <v>1</v>
      </c>
    </row>
    <row r="121" spans="19:20" x14ac:dyDescent="0.25">
      <c r="S121" s="3">
        <v>3288</v>
      </c>
      <c r="T121" s="7">
        <v>1</v>
      </c>
    </row>
    <row r="122" spans="19:20" x14ac:dyDescent="0.25">
      <c r="S122" s="3">
        <v>3290</v>
      </c>
      <c r="T122" s="7">
        <v>2</v>
      </c>
    </row>
    <row r="123" spans="19:20" x14ac:dyDescent="0.25">
      <c r="S123" s="3">
        <v>3295</v>
      </c>
      <c r="T123" s="7">
        <v>1</v>
      </c>
    </row>
    <row r="124" spans="19:20" x14ac:dyDescent="0.25">
      <c r="S124" s="3">
        <v>3298</v>
      </c>
      <c r="T124" s="7">
        <v>1</v>
      </c>
    </row>
    <row r="125" spans="19:20" x14ac:dyDescent="0.25">
      <c r="S125" s="3">
        <v>3301</v>
      </c>
      <c r="T125" s="7">
        <v>1</v>
      </c>
    </row>
    <row r="126" spans="19:20" x14ac:dyDescent="0.25">
      <c r="S126" s="3">
        <v>3303</v>
      </c>
      <c r="T126" s="7">
        <v>1</v>
      </c>
    </row>
    <row r="127" spans="19:20" x14ac:dyDescent="0.25">
      <c r="S127" s="3">
        <v>3309</v>
      </c>
      <c r="T127" s="7">
        <v>1</v>
      </c>
    </row>
    <row r="128" spans="19:20" x14ac:dyDescent="0.25">
      <c r="S128" s="3">
        <v>3311</v>
      </c>
      <c r="T128" s="7">
        <v>1</v>
      </c>
    </row>
    <row r="129" spans="19:20" x14ac:dyDescent="0.25">
      <c r="S129" s="3">
        <v>3312</v>
      </c>
      <c r="T129" s="7">
        <v>1</v>
      </c>
    </row>
    <row r="130" spans="19:20" x14ac:dyDescent="0.25">
      <c r="S130" s="3">
        <v>3313</v>
      </c>
      <c r="T130" s="7">
        <v>1</v>
      </c>
    </row>
    <row r="131" spans="19:20" x14ac:dyDescent="0.25">
      <c r="S131" s="3">
        <v>3315</v>
      </c>
      <c r="T131" s="7">
        <v>1</v>
      </c>
    </row>
    <row r="132" spans="19:20" x14ac:dyDescent="0.25">
      <c r="S132" s="3">
        <v>3317</v>
      </c>
      <c r="T132" s="7">
        <v>1</v>
      </c>
    </row>
    <row r="133" spans="19:20" x14ac:dyDescent="0.25">
      <c r="S133" s="3">
        <v>3325</v>
      </c>
      <c r="T133" s="7">
        <v>1</v>
      </c>
    </row>
    <row r="134" spans="19:20" x14ac:dyDescent="0.25">
      <c r="S134" s="3">
        <v>3331</v>
      </c>
      <c r="T134" s="7">
        <v>2</v>
      </c>
    </row>
    <row r="135" spans="19:20" x14ac:dyDescent="0.25">
      <c r="S135" s="3">
        <v>3332</v>
      </c>
      <c r="T135" s="7">
        <v>1</v>
      </c>
    </row>
    <row r="136" spans="19:20" x14ac:dyDescent="0.25">
      <c r="S136" s="3">
        <v>3337</v>
      </c>
      <c r="T136" s="7">
        <v>1</v>
      </c>
    </row>
    <row r="137" spans="19:20" x14ac:dyDescent="0.25">
      <c r="S137" s="3">
        <v>3338</v>
      </c>
      <c r="T137" s="7">
        <v>1</v>
      </c>
    </row>
    <row r="138" spans="19:20" x14ac:dyDescent="0.25">
      <c r="S138" s="3">
        <v>3341</v>
      </c>
      <c r="T138" s="7">
        <v>1</v>
      </c>
    </row>
    <row r="139" spans="19:20" x14ac:dyDescent="0.25">
      <c r="S139" s="3">
        <v>3342</v>
      </c>
      <c r="T139" s="7">
        <v>1</v>
      </c>
    </row>
    <row r="140" spans="19:20" x14ac:dyDescent="0.25">
      <c r="S140" s="3">
        <v>3345</v>
      </c>
      <c r="T140" s="7">
        <v>1</v>
      </c>
    </row>
    <row r="141" spans="19:20" x14ac:dyDescent="0.25">
      <c r="S141" s="3">
        <v>3348</v>
      </c>
      <c r="T141" s="7">
        <v>2</v>
      </c>
    </row>
    <row r="142" spans="19:20" x14ac:dyDescent="0.25">
      <c r="S142" s="3">
        <v>3349</v>
      </c>
      <c r="T142" s="7">
        <v>3</v>
      </c>
    </row>
    <row r="143" spans="19:20" x14ac:dyDescent="0.25">
      <c r="S143" s="3">
        <v>3356</v>
      </c>
      <c r="T143" s="7">
        <v>1</v>
      </c>
    </row>
    <row r="144" spans="19:20" x14ac:dyDescent="0.25">
      <c r="S144" s="3">
        <v>3363</v>
      </c>
      <c r="T144" s="7">
        <v>1</v>
      </c>
    </row>
    <row r="145" spans="19:20" x14ac:dyDescent="0.25">
      <c r="S145" s="3">
        <v>3366</v>
      </c>
      <c r="T145" s="7">
        <v>2</v>
      </c>
    </row>
    <row r="146" spans="19:20" x14ac:dyDescent="0.25">
      <c r="S146" s="3">
        <v>3369</v>
      </c>
      <c r="T146" s="7">
        <v>1</v>
      </c>
    </row>
    <row r="147" spans="19:20" x14ac:dyDescent="0.25">
      <c r="S147" s="3">
        <v>3373</v>
      </c>
      <c r="T147" s="7">
        <v>1</v>
      </c>
    </row>
    <row r="148" spans="19:20" x14ac:dyDescent="0.25">
      <c r="S148" s="3">
        <v>3374</v>
      </c>
      <c r="T148" s="7">
        <v>1</v>
      </c>
    </row>
    <row r="149" spans="19:20" x14ac:dyDescent="0.25">
      <c r="S149" s="3">
        <v>3380</v>
      </c>
      <c r="T149" s="7">
        <v>2</v>
      </c>
    </row>
    <row r="150" spans="19:20" x14ac:dyDescent="0.25">
      <c r="S150" s="3">
        <v>3386</v>
      </c>
      <c r="T150" s="7">
        <v>1</v>
      </c>
    </row>
    <row r="151" spans="19:20" x14ac:dyDescent="0.25">
      <c r="S151" s="3">
        <v>3391</v>
      </c>
      <c r="T151" s="7">
        <v>2</v>
      </c>
    </row>
    <row r="152" spans="19:20" x14ac:dyDescent="0.25">
      <c r="S152" s="3">
        <v>3393</v>
      </c>
      <c r="T152" s="7">
        <v>1</v>
      </c>
    </row>
    <row r="153" spans="19:20" x14ac:dyDescent="0.25">
      <c r="S153" s="3">
        <v>3398</v>
      </c>
      <c r="T153" s="7">
        <v>2</v>
      </c>
    </row>
    <row r="154" spans="19:20" x14ac:dyDescent="0.25">
      <c r="S154" s="3">
        <v>3400</v>
      </c>
      <c r="T154" s="7">
        <v>4</v>
      </c>
    </row>
    <row r="155" spans="19:20" x14ac:dyDescent="0.25">
      <c r="S155" s="3">
        <v>3402</v>
      </c>
      <c r="T155" s="7">
        <v>1</v>
      </c>
    </row>
    <row r="156" spans="19:20" x14ac:dyDescent="0.25">
      <c r="S156" s="3">
        <v>3405</v>
      </c>
      <c r="T156" s="7">
        <v>1</v>
      </c>
    </row>
    <row r="157" spans="19:20" x14ac:dyDescent="0.25">
      <c r="S157" s="3">
        <v>3406</v>
      </c>
      <c r="T157" s="7">
        <v>2</v>
      </c>
    </row>
    <row r="158" spans="19:20" x14ac:dyDescent="0.25">
      <c r="S158" s="3">
        <v>3410</v>
      </c>
      <c r="T158" s="7">
        <v>1</v>
      </c>
    </row>
    <row r="159" spans="19:20" x14ac:dyDescent="0.25">
      <c r="S159" s="3">
        <v>3413</v>
      </c>
      <c r="T159" s="7">
        <v>1</v>
      </c>
    </row>
    <row r="160" spans="19:20" x14ac:dyDescent="0.25">
      <c r="S160" s="3">
        <v>3415</v>
      </c>
      <c r="T160" s="7">
        <v>1</v>
      </c>
    </row>
    <row r="161" spans="19:20" x14ac:dyDescent="0.25">
      <c r="S161" s="3">
        <v>3416</v>
      </c>
      <c r="T161" s="7">
        <v>1</v>
      </c>
    </row>
    <row r="162" spans="19:20" x14ac:dyDescent="0.25">
      <c r="S162" s="3">
        <v>3421</v>
      </c>
      <c r="T162" s="7">
        <v>1</v>
      </c>
    </row>
    <row r="163" spans="19:20" x14ac:dyDescent="0.25">
      <c r="S163" s="3">
        <v>3427</v>
      </c>
      <c r="T163" s="7">
        <v>2</v>
      </c>
    </row>
    <row r="164" spans="19:20" x14ac:dyDescent="0.25">
      <c r="S164" s="3">
        <v>3428</v>
      </c>
      <c r="T164" s="7">
        <v>2</v>
      </c>
    </row>
    <row r="165" spans="19:20" x14ac:dyDescent="0.25">
      <c r="S165" s="3">
        <v>3432</v>
      </c>
      <c r="T165" s="7">
        <v>1</v>
      </c>
    </row>
    <row r="166" spans="19:20" x14ac:dyDescent="0.25">
      <c r="S166" s="3">
        <v>3433</v>
      </c>
      <c r="T166" s="7">
        <v>1</v>
      </c>
    </row>
    <row r="167" spans="19:20" x14ac:dyDescent="0.25">
      <c r="S167" s="3">
        <v>3434</v>
      </c>
      <c r="T167" s="7">
        <v>2</v>
      </c>
    </row>
    <row r="168" spans="19:20" x14ac:dyDescent="0.25">
      <c r="S168" s="3">
        <v>3436</v>
      </c>
      <c r="T168" s="7">
        <v>2</v>
      </c>
    </row>
    <row r="169" spans="19:20" x14ac:dyDescent="0.25">
      <c r="S169" s="3">
        <v>3438</v>
      </c>
      <c r="T169" s="7">
        <v>1</v>
      </c>
    </row>
    <row r="170" spans="19:20" x14ac:dyDescent="0.25">
      <c r="S170" s="3">
        <v>3439</v>
      </c>
      <c r="T170" s="7">
        <v>1</v>
      </c>
    </row>
    <row r="171" spans="19:20" x14ac:dyDescent="0.25">
      <c r="S171" s="3">
        <v>3440</v>
      </c>
      <c r="T171" s="7">
        <v>1</v>
      </c>
    </row>
    <row r="172" spans="19:20" x14ac:dyDescent="0.25">
      <c r="S172" s="3">
        <v>3443</v>
      </c>
      <c r="T172" s="7">
        <v>2</v>
      </c>
    </row>
    <row r="173" spans="19:20" x14ac:dyDescent="0.25">
      <c r="S173" s="3">
        <v>3444</v>
      </c>
      <c r="T173" s="7">
        <v>1</v>
      </c>
    </row>
    <row r="174" spans="19:20" x14ac:dyDescent="0.25">
      <c r="S174" s="3">
        <v>3448</v>
      </c>
      <c r="T174" s="7">
        <v>2</v>
      </c>
    </row>
    <row r="175" spans="19:20" x14ac:dyDescent="0.25">
      <c r="S175" s="3">
        <v>3450</v>
      </c>
      <c r="T175" s="7">
        <v>1</v>
      </c>
    </row>
    <row r="176" spans="19:20" x14ac:dyDescent="0.25">
      <c r="S176" s="3">
        <v>3456</v>
      </c>
      <c r="T176" s="7">
        <v>2</v>
      </c>
    </row>
    <row r="177" spans="19:20" x14ac:dyDescent="0.25">
      <c r="S177" s="3">
        <v>3460</v>
      </c>
      <c r="T177" s="7">
        <v>1</v>
      </c>
    </row>
    <row r="178" spans="19:20" x14ac:dyDescent="0.25">
      <c r="S178" s="3">
        <v>3461</v>
      </c>
      <c r="T178" s="7">
        <v>2</v>
      </c>
    </row>
    <row r="179" spans="19:20" x14ac:dyDescent="0.25">
      <c r="S179" s="3">
        <v>3462</v>
      </c>
      <c r="T179" s="7">
        <v>1</v>
      </c>
    </row>
    <row r="180" spans="19:20" x14ac:dyDescent="0.25">
      <c r="S180" s="3">
        <v>3468</v>
      </c>
      <c r="T180" s="7">
        <v>1</v>
      </c>
    </row>
    <row r="181" spans="19:20" x14ac:dyDescent="0.25">
      <c r="S181" s="3">
        <v>3469</v>
      </c>
      <c r="T181" s="7">
        <v>1</v>
      </c>
    </row>
    <row r="182" spans="19:20" x14ac:dyDescent="0.25">
      <c r="S182" s="3">
        <v>3474</v>
      </c>
      <c r="T182" s="7">
        <v>1</v>
      </c>
    </row>
    <row r="183" spans="19:20" x14ac:dyDescent="0.25">
      <c r="S183" s="3">
        <v>3475</v>
      </c>
      <c r="T183" s="7">
        <v>2</v>
      </c>
    </row>
    <row r="184" spans="19:20" x14ac:dyDescent="0.25">
      <c r="S184" s="3">
        <v>3476</v>
      </c>
      <c r="T184" s="7">
        <v>1</v>
      </c>
    </row>
    <row r="185" spans="19:20" x14ac:dyDescent="0.25">
      <c r="S185" s="3">
        <v>3479</v>
      </c>
      <c r="T185" s="7">
        <v>1</v>
      </c>
    </row>
    <row r="186" spans="19:20" x14ac:dyDescent="0.25">
      <c r="S186" s="3">
        <v>3481</v>
      </c>
      <c r="T186" s="7">
        <v>3</v>
      </c>
    </row>
    <row r="187" spans="19:20" x14ac:dyDescent="0.25">
      <c r="S187" s="3">
        <v>3483</v>
      </c>
      <c r="T187" s="7">
        <v>1</v>
      </c>
    </row>
    <row r="188" spans="19:20" x14ac:dyDescent="0.25">
      <c r="S188" s="3">
        <v>3486</v>
      </c>
      <c r="T188" s="7">
        <v>1</v>
      </c>
    </row>
    <row r="189" spans="19:20" x14ac:dyDescent="0.25">
      <c r="S189" s="3">
        <v>3488</v>
      </c>
      <c r="T189" s="7">
        <v>1</v>
      </c>
    </row>
    <row r="190" spans="19:20" x14ac:dyDescent="0.25">
      <c r="S190" s="3">
        <v>3490</v>
      </c>
      <c r="T190" s="7">
        <v>2</v>
      </c>
    </row>
    <row r="191" spans="19:20" x14ac:dyDescent="0.25">
      <c r="S191" s="3">
        <v>3494</v>
      </c>
      <c r="T191" s="7">
        <v>2</v>
      </c>
    </row>
    <row r="192" spans="19:20" x14ac:dyDescent="0.25">
      <c r="S192" s="3">
        <v>3495</v>
      </c>
      <c r="T192" s="7">
        <v>2</v>
      </c>
    </row>
    <row r="193" spans="19:20" x14ac:dyDescent="0.25">
      <c r="S193" s="3">
        <v>3496</v>
      </c>
      <c r="T193" s="7">
        <v>1</v>
      </c>
    </row>
    <row r="194" spans="19:20" x14ac:dyDescent="0.25">
      <c r="S194" s="3">
        <v>3497</v>
      </c>
      <c r="T194" s="7">
        <v>2</v>
      </c>
    </row>
    <row r="195" spans="19:20" x14ac:dyDescent="0.25">
      <c r="S195" s="3">
        <v>3502</v>
      </c>
      <c r="T195" s="7">
        <v>1</v>
      </c>
    </row>
    <row r="196" spans="19:20" x14ac:dyDescent="0.25">
      <c r="S196" s="3">
        <v>3506</v>
      </c>
      <c r="T196" s="7">
        <v>1</v>
      </c>
    </row>
    <row r="197" spans="19:20" x14ac:dyDescent="0.25">
      <c r="S197" s="3">
        <v>3512</v>
      </c>
      <c r="T197" s="7">
        <v>1</v>
      </c>
    </row>
    <row r="198" spans="19:20" x14ac:dyDescent="0.25">
      <c r="S198" s="3">
        <v>3516</v>
      </c>
      <c r="T198" s="7">
        <v>1</v>
      </c>
    </row>
    <row r="199" spans="19:20" x14ac:dyDescent="0.25">
      <c r="S199" s="3">
        <v>3517</v>
      </c>
      <c r="T199" s="7">
        <v>1</v>
      </c>
    </row>
    <row r="200" spans="19:20" x14ac:dyDescent="0.25">
      <c r="S200" s="3">
        <v>3519</v>
      </c>
      <c r="T200" s="7">
        <v>1</v>
      </c>
    </row>
    <row r="201" spans="19:20" x14ac:dyDescent="0.25">
      <c r="S201" s="3">
        <v>3520</v>
      </c>
      <c r="T201" s="7">
        <v>1</v>
      </c>
    </row>
    <row r="202" spans="19:20" x14ac:dyDescent="0.25">
      <c r="S202" s="3">
        <v>3521</v>
      </c>
      <c r="T202" s="7">
        <v>1</v>
      </c>
    </row>
    <row r="203" spans="19:20" x14ac:dyDescent="0.25">
      <c r="S203" s="3">
        <v>3522</v>
      </c>
      <c r="T203" s="7">
        <v>1</v>
      </c>
    </row>
    <row r="204" spans="19:20" x14ac:dyDescent="0.25">
      <c r="S204" s="3">
        <v>3524</v>
      </c>
      <c r="T204" s="7">
        <v>1</v>
      </c>
    </row>
    <row r="205" spans="19:20" x14ac:dyDescent="0.25">
      <c r="S205" s="3">
        <v>3527</v>
      </c>
      <c r="T205" s="7">
        <v>1</v>
      </c>
    </row>
    <row r="206" spans="19:20" x14ac:dyDescent="0.25">
      <c r="S206" s="3">
        <v>3529</v>
      </c>
      <c r="T206" s="7">
        <v>1</v>
      </c>
    </row>
    <row r="207" spans="19:20" x14ac:dyDescent="0.25">
      <c r="S207" s="3">
        <v>3533</v>
      </c>
      <c r="T207" s="7">
        <v>1</v>
      </c>
    </row>
    <row r="208" spans="19:20" x14ac:dyDescent="0.25">
      <c r="S208" s="3">
        <v>3535</v>
      </c>
      <c r="T208" s="7">
        <v>1</v>
      </c>
    </row>
    <row r="209" spans="19:20" x14ac:dyDescent="0.25">
      <c r="S209" s="3">
        <v>3536</v>
      </c>
      <c r="T209" s="7">
        <v>1</v>
      </c>
    </row>
    <row r="210" spans="19:20" x14ac:dyDescent="0.25">
      <c r="S210" s="3">
        <v>3537</v>
      </c>
      <c r="T210" s="7">
        <v>1</v>
      </c>
    </row>
    <row r="211" spans="19:20" x14ac:dyDescent="0.25">
      <c r="S211" s="3">
        <v>3539</v>
      </c>
      <c r="T211" s="7">
        <v>1</v>
      </c>
    </row>
    <row r="212" spans="19:20" x14ac:dyDescent="0.25">
      <c r="S212" s="3">
        <v>3545</v>
      </c>
      <c r="T212" s="7">
        <v>2</v>
      </c>
    </row>
    <row r="213" spans="19:20" x14ac:dyDescent="0.25">
      <c r="S213" s="3">
        <v>3546</v>
      </c>
      <c r="T213" s="7">
        <v>1</v>
      </c>
    </row>
    <row r="214" spans="19:20" x14ac:dyDescent="0.25">
      <c r="S214" s="3">
        <v>3548</v>
      </c>
      <c r="T214" s="7">
        <v>1</v>
      </c>
    </row>
    <row r="215" spans="19:20" x14ac:dyDescent="0.25">
      <c r="S215" s="3">
        <v>3549</v>
      </c>
      <c r="T215" s="7">
        <v>1</v>
      </c>
    </row>
    <row r="216" spans="19:20" x14ac:dyDescent="0.25">
      <c r="S216" s="3">
        <v>3550</v>
      </c>
      <c r="T216" s="7">
        <v>1</v>
      </c>
    </row>
    <row r="217" spans="19:20" x14ac:dyDescent="0.25">
      <c r="S217" s="3">
        <v>3554</v>
      </c>
      <c r="T217" s="7">
        <v>1</v>
      </c>
    </row>
    <row r="218" spans="19:20" x14ac:dyDescent="0.25">
      <c r="S218" s="3">
        <v>3555</v>
      </c>
      <c r="T218" s="7">
        <v>2</v>
      </c>
    </row>
    <row r="219" spans="19:20" x14ac:dyDescent="0.25">
      <c r="S219" s="3">
        <v>3559</v>
      </c>
      <c r="T219" s="7">
        <v>1</v>
      </c>
    </row>
    <row r="220" spans="19:20" x14ac:dyDescent="0.25">
      <c r="S220" s="3">
        <v>3560</v>
      </c>
      <c r="T220" s="7">
        <v>1</v>
      </c>
    </row>
    <row r="221" spans="19:20" x14ac:dyDescent="0.25">
      <c r="S221" s="3">
        <v>3561</v>
      </c>
      <c r="T221" s="7">
        <v>1</v>
      </c>
    </row>
    <row r="222" spans="19:20" x14ac:dyDescent="0.25">
      <c r="S222" s="3">
        <v>3566</v>
      </c>
      <c r="T222" s="7">
        <v>2</v>
      </c>
    </row>
    <row r="223" spans="19:20" x14ac:dyDescent="0.25">
      <c r="S223" s="3">
        <v>3573</v>
      </c>
      <c r="T223" s="7">
        <v>1</v>
      </c>
    </row>
    <row r="224" spans="19:20" x14ac:dyDescent="0.25">
      <c r="S224" s="3">
        <v>3574</v>
      </c>
      <c r="T224" s="7">
        <v>1</v>
      </c>
    </row>
    <row r="225" spans="19:20" x14ac:dyDescent="0.25">
      <c r="S225" s="3">
        <v>3575</v>
      </c>
      <c r="T225" s="7">
        <v>1</v>
      </c>
    </row>
    <row r="226" spans="19:20" x14ac:dyDescent="0.25">
      <c r="S226" s="3">
        <v>3576</v>
      </c>
      <c r="T226" s="7">
        <v>1</v>
      </c>
    </row>
    <row r="227" spans="19:20" x14ac:dyDescent="0.25">
      <c r="S227" s="3">
        <v>3579</v>
      </c>
      <c r="T227" s="7">
        <v>3</v>
      </c>
    </row>
    <row r="228" spans="19:20" x14ac:dyDescent="0.25">
      <c r="S228" s="3">
        <v>3583</v>
      </c>
      <c r="T228" s="7">
        <v>1</v>
      </c>
    </row>
    <row r="229" spans="19:20" x14ac:dyDescent="0.25">
      <c r="S229" s="3">
        <v>3584</v>
      </c>
      <c r="T229" s="7">
        <v>2</v>
      </c>
    </row>
    <row r="230" spans="19:20" x14ac:dyDescent="0.25">
      <c r="S230" s="3">
        <v>3588</v>
      </c>
      <c r="T230" s="7">
        <v>2</v>
      </c>
    </row>
    <row r="231" spans="19:20" x14ac:dyDescent="0.25">
      <c r="S231" s="3">
        <v>3589</v>
      </c>
      <c r="T231" s="7">
        <v>1</v>
      </c>
    </row>
    <row r="232" spans="19:20" x14ac:dyDescent="0.25">
      <c r="S232" s="3">
        <v>3593</v>
      </c>
      <c r="T232" s="7">
        <v>1</v>
      </c>
    </row>
    <row r="233" spans="19:20" x14ac:dyDescent="0.25">
      <c r="S233" s="3">
        <v>3599</v>
      </c>
      <c r="T233" s="7">
        <v>1</v>
      </c>
    </row>
    <row r="234" spans="19:20" x14ac:dyDescent="0.25">
      <c r="S234" s="3">
        <v>3604</v>
      </c>
      <c r="T234" s="7">
        <v>1</v>
      </c>
    </row>
    <row r="235" spans="19:20" x14ac:dyDescent="0.25">
      <c r="S235" s="3">
        <v>3605</v>
      </c>
      <c r="T235" s="7">
        <v>2</v>
      </c>
    </row>
    <row r="236" spans="19:20" x14ac:dyDescent="0.25">
      <c r="S236" s="3">
        <v>3606</v>
      </c>
      <c r="T236" s="7">
        <v>1</v>
      </c>
    </row>
    <row r="237" spans="19:20" x14ac:dyDescent="0.25">
      <c r="S237" s="3">
        <v>3607</v>
      </c>
      <c r="T237" s="7">
        <v>1</v>
      </c>
    </row>
    <row r="238" spans="19:20" x14ac:dyDescent="0.25">
      <c r="S238" s="3">
        <v>3608</v>
      </c>
      <c r="T238" s="7">
        <v>1</v>
      </c>
    </row>
    <row r="239" spans="19:20" x14ac:dyDescent="0.25">
      <c r="S239" s="3">
        <v>3612</v>
      </c>
      <c r="T239" s="7">
        <v>1</v>
      </c>
    </row>
    <row r="240" spans="19:20" x14ac:dyDescent="0.25">
      <c r="S240" s="3">
        <v>3615</v>
      </c>
      <c r="T240" s="7">
        <v>1</v>
      </c>
    </row>
    <row r="241" spans="19:20" x14ac:dyDescent="0.25">
      <c r="S241" s="3">
        <v>3617</v>
      </c>
      <c r="T241" s="7">
        <v>1</v>
      </c>
    </row>
    <row r="242" spans="19:20" x14ac:dyDescent="0.25">
      <c r="S242" s="3">
        <v>3622</v>
      </c>
      <c r="T242" s="7">
        <v>2</v>
      </c>
    </row>
    <row r="243" spans="19:20" x14ac:dyDescent="0.25">
      <c r="S243" s="3">
        <v>3628</v>
      </c>
      <c r="T243" s="7">
        <v>1</v>
      </c>
    </row>
    <row r="244" spans="19:20" x14ac:dyDescent="0.25">
      <c r="S244" s="3">
        <v>3629</v>
      </c>
      <c r="T244" s="7">
        <v>1</v>
      </c>
    </row>
    <row r="245" spans="19:20" x14ac:dyDescent="0.25">
      <c r="S245" s="3">
        <v>3631</v>
      </c>
      <c r="T245" s="7">
        <v>1</v>
      </c>
    </row>
    <row r="246" spans="19:20" x14ac:dyDescent="0.25">
      <c r="S246" s="3">
        <v>3633</v>
      </c>
      <c r="T246" s="7">
        <v>1</v>
      </c>
    </row>
    <row r="247" spans="19:20" x14ac:dyDescent="0.25">
      <c r="S247" s="3">
        <v>3634</v>
      </c>
      <c r="T247" s="7">
        <v>1</v>
      </c>
    </row>
    <row r="248" spans="19:20" x14ac:dyDescent="0.25">
      <c r="S248" s="3">
        <v>3636</v>
      </c>
      <c r="T248" s="7">
        <v>1</v>
      </c>
    </row>
    <row r="249" spans="19:20" x14ac:dyDescent="0.25">
      <c r="S249" s="3">
        <v>3637</v>
      </c>
      <c r="T249" s="7">
        <v>1</v>
      </c>
    </row>
    <row r="250" spans="19:20" x14ac:dyDescent="0.25">
      <c r="S250" s="3">
        <v>3638</v>
      </c>
      <c r="T250" s="7">
        <v>1</v>
      </c>
    </row>
    <row r="251" spans="19:20" x14ac:dyDescent="0.25">
      <c r="S251" s="3">
        <v>3639</v>
      </c>
      <c r="T251" s="7">
        <v>1</v>
      </c>
    </row>
    <row r="252" spans="19:20" x14ac:dyDescent="0.25">
      <c r="S252" s="3">
        <v>3640</v>
      </c>
      <c r="T252" s="7">
        <v>1</v>
      </c>
    </row>
    <row r="253" spans="19:20" x14ac:dyDescent="0.25">
      <c r="S253" s="3">
        <v>3645</v>
      </c>
      <c r="T253" s="7">
        <v>2</v>
      </c>
    </row>
    <row r="254" spans="19:20" x14ac:dyDescent="0.25">
      <c r="S254" s="3">
        <v>3646</v>
      </c>
      <c r="T254" s="7">
        <v>1</v>
      </c>
    </row>
    <row r="255" spans="19:20" x14ac:dyDescent="0.25">
      <c r="S255" s="3">
        <v>3647</v>
      </c>
      <c r="T255" s="7">
        <v>2</v>
      </c>
    </row>
    <row r="256" spans="19:20" x14ac:dyDescent="0.25">
      <c r="S256" s="3">
        <v>3648</v>
      </c>
      <c r="T256" s="7">
        <v>1</v>
      </c>
    </row>
    <row r="257" spans="19:20" x14ac:dyDescent="0.25">
      <c r="S257" s="3">
        <v>3654</v>
      </c>
      <c r="T257" s="7">
        <v>1</v>
      </c>
    </row>
    <row r="258" spans="19:20" x14ac:dyDescent="0.25">
      <c r="S258" s="3">
        <v>3661</v>
      </c>
      <c r="T258" s="7">
        <v>4</v>
      </c>
    </row>
    <row r="259" spans="19:20" x14ac:dyDescent="0.25">
      <c r="S259" s="3">
        <v>3665</v>
      </c>
      <c r="T259" s="7">
        <v>1</v>
      </c>
    </row>
    <row r="260" spans="19:20" x14ac:dyDescent="0.25">
      <c r="S260" s="3">
        <v>3670</v>
      </c>
      <c r="T260" s="7">
        <v>1</v>
      </c>
    </row>
    <row r="261" spans="19:20" x14ac:dyDescent="0.25">
      <c r="S261" s="3">
        <v>3672</v>
      </c>
      <c r="T261" s="7">
        <v>1</v>
      </c>
    </row>
    <row r="262" spans="19:20" x14ac:dyDescent="0.25">
      <c r="S262" s="3">
        <v>3675</v>
      </c>
      <c r="T262" s="7">
        <v>1</v>
      </c>
    </row>
    <row r="263" spans="19:20" x14ac:dyDescent="0.25">
      <c r="S263" s="3">
        <v>3678</v>
      </c>
      <c r="T263" s="7">
        <v>1</v>
      </c>
    </row>
    <row r="264" spans="19:20" x14ac:dyDescent="0.25">
      <c r="S264" s="3">
        <v>3683</v>
      </c>
      <c r="T264" s="7">
        <v>1</v>
      </c>
    </row>
    <row r="265" spans="19:20" x14ac:dyDescent="0.25">
      <c r="S265" s="3">
        <v>3687</v>
      </c>
      <c r="T265" s="7">
        <v>1</v>
      </c>
    </row>
    <row r="266" spans="19:20" x14ac:dyDescent="0.25">
      <c r="S266" s="3">
        <v>3688</v>
      </c>
      <c r="T266" s="7">
        <v>2</v>
      </c>
    </row>
    <row r="267" spans="19:20" x14ac:dyDescent="0.25">
      <c r="S267" s="3">
        <v>3689</v>
      </c>
      <c r="T267" s="7">
        <v>1</v>
      </c>
    </row>
    <row r="268" spans="19:20" x14ac:dyDescent="0.25">
      <c r="S268" s="3">
        <v>3690</v>
      </c>
      <c r="T268" s="7">
        <v>1</v>
      </c>
    </row>
    <row r="269" spans="19:20" x14ac:dyDescent="0.25">
      <c r="S269" s="3">
        <v>3692</v>
      </c>
      <c r="T269" s="7">
        <v>1</v>
      </c>
    </row>
    <row r="270" spans="19:20" x14ac:dyDescent="0.25">
      <c r="S270" s="3">
        <v>3695</v>
      </c>
      <c r="T270" s="7">
        <v>1</v>
      </c>
    </row>
    <row r="271" spans="19:20" x14ac:dyDescent="0.25">
      <c r="S271" s="3">
        <v>3697</v>
      </c>
      <c r="T271" s="7">
        <v>1</v>
      </c>
    </row>
    <row r="272" spans="19:20" x14ac:dyDescent="0.25">
      <c r="S272" s="3">
        <v>3698</v>
      </c>
      <c r="T272" s="7">
        <v>1</v>
      </c>
    </row>
    <row r="273" spans="19:20" x14ac:dyDescent="0.25">
      <c r="S273" s="3">
        <v>3703</v>
      </c>
      <c r="T273" s="7">
        <v>1</v>
      </c>
    </row>
    <row r="274" spans="19:20" x14ac:dyDescent="0.25">
      <c r="S274" s="3">
        <v>3704</v>
      </c>
      <c r="T274" s="7">
        <v>1</v>
      </c>
    </row>
    <row r="275" spans="19:20" x14ac:dyDescent="0.25">
      <c r="S275" s="3">
        <v>3710</v>
      </c>
      <c r="T275" s="7">
        <v>1</v>
      </c>
    </row>
    <row r="276" spans="19:20" x14ac:dyDescent="0.25">
      <c r="S276" s="3">
        <v>3711</v>
      </c>
      <c r="T276" s="7">
        <v>2</v>
      </c>
    </row>
    <row r="277" spans="19:20" x14ac:dyDescent="0.25">
      <c r="S277" s="3">
        <v>3715</v>
      </c>
      <c r="T277" s="7">
        <v>1</v>
      </c>
    </row>
    <row r="278" spans="19:20" x14ac:dyDescent="0.25">
      <c r="S278" s="3">
        <v>3717</v>
      </c>
      <c r="T278" s="7">
        <v>1</v>
      </c>
    </row>
    <row r="279" spans="19:20" x14ac:dyDescent="0.25">
      <c r="S279" s="3">
        <v>3719</v>
      </c>
      <c r="T279" s="7">
        <v>2</v>
      </c>
    </row>
    <row r="280" spans="19:20" x14ac:dyDescent="0.25">
      <c r="S280" s="3">
        <v>3721</v>
      </c>
      <c r="T280" s="7">
        <v>1</v>
      </c>
    </row>
    <row r="281" spans="19:20" x14ac:dyDescent="0.25">
      <c r="S281" s="3">
        <v>3723</v>
      </c>
      <c r="T281" s="7">
        <v>1</v>
      </c>
    </row>
    <row r="282" spans="19:20" x14ac:dyDescent="0.25">
      <c r="S282" s="3">
        <v>3726</v>
      </c>
      <c r="T282" s="7">
        <v>1</v>
      </c>
    </row>
    <row r="283" spans="19:20" x14ac:dyDescent="0.25">
      <c r="S283" s="3">
        <v>3727</v>
      </c>
      <c r="T283" s="7">
        <v>1</v>
      </c>
    </row>
    <row r="284" spans="19:20" x14ac:dyDescent="0.25">
      <c r="S284" s="3">
        <v>3730</v>
      </c>
      <c r="T284" s="7">
        <v>2</v>
      </c>
    </row>
    <row r="285" spans="19:20" x14ac:dyDescent="0.25">
      <c r="S285" s="3">
        <v>3735</v>
      </c>
      <c r="T285" s="7">
        <v>1</v>
      </c>
    </row>
    <row r="286" spans="19:20" x14ac:dyDescent="0.25">
      <c r="S286" s="3">
        <v>3738</v>
      </c>
      <c r="T286" s="7">
        <v>1</v>
      </c>
    </row>
    <row r="287" spans="19:20" x14ac:dyDescent="0.25">
      <c r="S287" s="3">
        <v>3741</v>
      </c>
      <c r="T287" s="7">
        <v>1</v>
      </c>
    </row>
    <row r="288" spans="19:20" x14ac:dyDescent="0.25">
      <c r="S288" s="3">
        <v>3745</v>
      </c>
      <c r="T288" s="7">
        <v>2</v>
      </c>
    </row>
    <row r="289" spans="19:20" x14ac:dyDescent="0.25">
      <c r="S289" s="3">
        <v>3749</v>
      </c>
      <c r="T289" s="7">
        <v>1</v>
      </c>
    </row>
    <row r="290" spans="19:20" x14ac:dyDescent="0.25">
      <c r="S290" s="3">
        <v>3753</v>
      </c>
      <c r="T290" s="7">
        <v>1</v>
      </c>
    </row>
    <row r="291" spans="19:20" x14ac:dyDescent="0.25">
      <c r="S291" s="3">
        <v>3759</v>
      </c>
      <c r="T291" s="7">
        <v>2</v>
      </c>
    </row>
    <row r="292" spans="19:20" x14ac:dyDescent="0.25">
      <c r="S292" s="3">
        <v>3762</v>
      </c>
      <c r="T292" s="7">
        <v>2</v>
      </c>
    </row>
    <row r="293" spans="19:20" x14ac:dyDescent="0.25">
      <c r="S293" s="3">
        <v>3763</v>
      </c>
      <c r="T293" s="7">
        <v>2</v>
      </c>
    </row>
    <row r="294" spans="19:20" x14ac:dyDescent="0.25">
      <c r="S294" s="3">
        <v>3764</v>
      </c>
      <c r="T294" s="7">
        <v>2</v>
      </c>
    </row>
    <row r="295" spans="19:20" x14ac:dyDescent="0.25">
      <c r="S295" s="3">
        <v>3765</v>
      </c>
      <c r="T295" s="7">
        <v>1</v>
      </c>
    </row>
    <row r="296" spans="19:20" x14ac:dyDescent="0.25">
      <c r="S296" s="3">
        <v>3766</v>
      </c>
      <c r="T296" s="7">
        <v>1</v>
      </c>
    </row>
    <row r="297" spans="19:20" x14ac:dyDescent="0.25">
      <c r="S297" s="3">
        <v>3772</v>
      </c>
      <c r="T297" s="7">
        <v>1</v>
      </c>
    </row>
    <row r="298" spans="19:20" x14ac:dyDescent="0.25">
      <c r="S298" s="3">
        <v>3774</v>
      </c>
      <c r="T298" s="7">
        <v>1</v>
      </c>
    </row>
    <row r="299" spans="19:20" x14ac:dyDescent="0.25">
      <c r="S299" s="3">
        <v>3775</v>
      </c>
      <c r="T299" s="7">
        <v>1</v>
      </c>
    </row>
    <row r="300" spans="19:20" x14ac:dyDescent="0.25">
      <c r="S300" s="3">
        <v>3776</v>
      </c>
      <c r="T300" s="7">
        <v>1</v>
      </c>
    </row>
    <row r="301" spans="19:20" x14ac:dyDescent="0.25">
      <c r="S301" s="3">
        <v>3780</v>
      </c>
      <c r="T301" s="7">
        <v>1</v>
      </c>
    </row>
    <row r="302" spans="19:20" x14ac:dyDescent="0.25">
      <c r="S302" s="3">
        <v>3784</v>
      </c>
      <c r="T302" s="7">
        <v>1</v>
      </c>
    </row>
    <row r="303" spans="19:20" x14ac:dyDescent="0.25">
      <c r="S303" s="3">
        <v>3786</v>
      </c>
      <c r="T303" s="7">
        <v>1</v>
      </c>
    </row>
    <row r="304" spans="19:20" x14ac:dyDescent="0.25">
      <c r="S304" s="3">
        <v>3787</v>
      </c>
      <c r="T304" s="7">
        <v>2</v>
      </c>
    </row>
    <row r="305" spans="19:20" x14ac:dyDescent="0.25">
      <c r="S305" s="3">
        <v>3797</v>
      </c>
      <c r="T305" s="7">
        <v>1</v>
      </c>
    </row>
    <row r="306" spans="19:20" x14ac:dyDescent="0.25">
      <c r="S306" s="3">
        <v>3803</v>
      </c>
      <c r="T306" s="7">
        <v>1</v>
      </c>
    </row>
    <row r="307" spans="19:20" x14ac:dyDescent="0.25">
      <c r="S307" s="3">
        <v>3805</v>
      </c>
      <c r="T307" s="7">
        <v>2</v>
      </c>
    </row>
    <row r="308" spans="19:20" x14ac:dyDescent="0.25">
      <c r="S308" s="3">
        <v>3808</v>
      </c>
      <c r="T308" s="7">
        <v>1</v>
      </c>
    </row>
    <row r="309" spans="19:20" x14ac:dyDescent="0.25">
      <c r="S309" s="3">
        <v>3809</v>
      </c>
      <c r="T309" s="7">
        <v>1</v>
      </c>
    </row>
    <row r="310" spans="19:20" x14ac:dyDescent="0.25">
      <c r="S310" s="3">
        <v>3811</v>
      </c>
      <c r="T310" s="7">
        <v>3</v>
      </c>
    </row>
    <row r="311" spans="19:20" x14ac:dyDescent="0.25">
      <c r="S311" s="3">
        <v>3814</v>
      </c>
      <c r="T311" s="7">
        <v>2</v>
      </c>
    </row>
    <row r="312" spans="19:20" x14ac:dyDescent="0.25">
      <c r="S312" s="3">
        <v>3816</v>
      </c>
      <c r="T312" s="7">
        <v>1</v>
      </c>
    </row>
    <row r="313" spans="19:20" x14ac:dyDescent="0.25">
      <c r="S313" s="3">
        <v>3819</v>
      </c>
      <c r="T313" s="7">
        <v>1</v>
      </c>
    </row>
    <row r="314" spans="19:20" x14ac:dyDescent="0.25">
      <c r="S314" s="3">
        <v>3821</v>
      </c>
      <c r="T314" s="7">
        <v>1</v>
      </c>
    </row>
    <row r="315" spans="19:20" x14ac:dyDescent="0.25">
      <c r="S315" s="3">
        <v>3822</v>
      </c>
      <c r="T315" s="7">
        <v>2</v>
      </c>
    </row>
    <row r="316" spans="19:20" x14ac:dyDescent="0.25">
      <c r="S316" s="3">
        <v>3823</v>
      </c>
      <c r="T316" s="7">
        <v>1</v>
      </c>
    </row>
    <row r="317" spans="19:20" x14ac:dyDescent="0.25">
      <c r="S317" s="3">
        <v>3824</v>
      </c>
      <c r="T317" s="7">
        <v>2</v>
      </c>
    </row>
    <row r="318" spans="19:20" x14ac:dyDescent="0.25">
      <c r="S318" s="3">
        <v>3826</v>
      </c>
      <c r="T318" s="7">
        <v>2</v>
      </c>
    </row>
    <row r="319" spans="19:20" x14ac:dyDescent="0.25">
      <c r="S319" s="3">
        <v>3827</v>
      </c>
      <c r="T319" s="7">
        <v>1</v>
      </c>
    </row>
    <row r="320" spans="19:20" x14ac:dyDescent="0.25">
      <c r="S320" s="3">
        <v>3829</v>
      </c>
      <c r="T320" s="7">
        <v>1</v>
      </c>
    </row>
    <row r="321" spans="19:20" x14ac:dyDescent="0.25">
      <c r="S321" s="3">
        <v>3832</v>
      </c>
      <c r="T321" s="7">
        <v>1</v>
      </c>
    </row>
    <row r="322" spans="19:20" x14ac:dyDescent="0.25">
      <c r="S322" s="3">
        <v>3834</v>
      </c>
      <c r="T322" s="7">
        <v>1</v>
      </c>
    </row>
    <row r="323" spans="19:20" x14ac:dyDescent="0.25">
      <c r="S323" s="3">
        <v>3835</v>
      </c>
      <c r="T323" s="7">
        <v>1</v>
      </c>
    </row>
    <row r="324" spans="19:20" x14ac:dyDescent="0.25">
      <c r="S324" s="3">
        <v>3838</v>
      </c>
      <c r="T324" s="7">
        <v>1</v>
      </c>
    </row>
    <row r="325" spans="19:20" x14ac:dyDescent="0.25">
      <c r="S325" s="3">
        <v>3841</v>
      </c>
      <c r="T325" s="7">
        <v>1</v>
      </c>
    </row>
    <row r="326" spans="19:20" x14ac:dyDescent="0.25">
      <c r="S326" s="3">
        <v>3844</v>
      </c>
      <c r="T326" s="7">
        <v>1</v>
      </c>
    </row>
    <row r="327" spans="19:20" x14ac:dyDescent="0.25">
      <c r="S327" s="3">
        <v>3846</v>
      </c>
      <c r="T327" s="7">
        <v>1</v>
      </c>
    </row>
    <row r="328" spans="19:20" x14ac:dyDescent="0.25">
      <c r="S328" s="3">
        <v>3847</v>
      </c>
      <c r="T328" s="7">
        <v>2</v>
      </c>
    </row>
    <row r="329" spans="19:20" x14ac:dyDescent="0.25">
      <c r="S329" s="3">
        <v>3849</v>
      </c>
      <c r="T329" s="7">
        <v>1</v>
      </c>
    </row>
    <row r="330" spans="19:20" x14ac:dyDescent="0.25">
      <c r="S330" s="3">
        <v>3850</v>
      </c>
      <c r="T330" s="7">
        <v>1</v>
      </c>
    </row>
    <row r="331" spans="19:20" x14ac:dyDescent="0.25">
      <c r="S331" s="3">
        <v>3851</v>
      </c>
      <c r="T331" s="7">
        <v>1</v>
      </c>
    </row>
    <row r="332" spans="19:20" x14ac:dyDescent="0.25">
      <c r="S332" s="3">
        <v>3852</v>
      </c>
      <c r="T332" s="7">
        <v>1</v>
      </c>
    </row>
    <row r="333" spans="19:20" x14ac:dyDescent="0.25">
      <c r="S333" s="3">
        <v>3854</v>
      </c>
      <c r="T333" s="7">
        <v>1</v>
      </c>
    </row>
    <row r="334" spans="19:20" x14ac:dyDescent="0.25">
      <c r="S334" s="3">
        <v>3855</v>
      </c>
      <c r="T334" s="7">
        <v>1</v>
      </c>
    </row>
    <row r="335" spans="19:20" x14ac:dyDescent="0.25">
      <c r="S335" s="3">
        <v>3859</v>
      </c>
      <c r="T335" s="7">
        <v>2</v>
      </c>
    </row>
    <row r="336" spans="19:20" x14ac:dyDescent="0.25">
      <c r="S336" s="3">
        <v>3862</v>
      </c>
      <c r="T336" s="7">
        <v>1</v>
      </c>
    </row>
    <row r="337" spans="19:20" x14ac:dyDescent="0.25">
      <c r="S337" s="3">
        <v>3864</v>
      </c>
      <c r="T337" s="7">
        <v>1</v>
      </c>
    </row>
    <row r="338" spans="19:20" x14ac:dyDescent="0.25">
      <c r="S338" s="3">
        <v>3865</v>
      </c>
      <c r="T338" s="7">
        <v>2</v>
      </c>
    </row>
    <row r="339" spans="19:20" x14ac:dyDescent="0.25">
      <c r="S339" s="3">
        <v>3867</v>
      </c>
      <c r="T339" s="7">
        <v>1</v>
      </c>
    </row>
    <row r="340" spans="19:20" x14ac:dyDescent="0.25">
      <c r="S340" s="3">
        <v>3871</v>
      </c>
      <c r="T340" s="7">
        <v>1</v>
      </c>
    </row>
    <row r="341" spans="19:20" x14ac:dyDescent="0.25">
      <c r="S341" s="3">
        <v>3873</v>
      </c>
      <c r="T341" s="7">
        <v>1</v>
      </c>
    </row>
    <row r="342" spans="19:20" x14ac:dyDescent="0.25">
      <c r="S342" s="3">
        <v>3874</v>
      </c>
      <c r="T342" s="7">
        <v>1</v>
      </c>
    </row>
    <row r="343" spans="19:20" x14ac:dyDescent="0.25">
      <c r="S343" s="3">
        <v>3875</v>
      </c>
      <c r="T343" s="7">
        <v>1</v>
      </c>
    </row>
    <row r="344" spans="19:20" x14ac:dyDescent="0.25">
      <c r="S344" s="3">
        <v>3876</v>
      </c>
      <c r="T344" s="7">
        <v>1</v>
      </c>
    </row>
    <row r="345" spans="19:20" x14ac:dyDescent="0.25">
      <c r="S345" s="3">
        <v>3877</v>
      </c>
      <c r="T345" s="7">
        <v>1</v>
      </c>
    </row>
    <row r="346" spans="19:20" x14ac:dyDescent="0.25">
      <c r="S346" s="3">
        <v>3880</v>
      </c>
      <c r="T346" s="7">
        <v>1</v>
      </c>
    </row>
    <row r="347" spans="19:20" x14ac:dyDescent="0.25">
      <c r="S347" s="3">
        <v>3884</v>
      </c>
      <c r="T347" s="7">
        <v>2</v>
      </c>
    </row>
    <row r="348" spans="19:20" x14ac:dyDescent="0.25">
      <c r="S348" s="3">
        <v>3888</v>
      </c>
      <c r="T348" s="7">
        <v>1</v>
      </c>
    </row>
    <row r="349" spans="19:20" x14ac:dyDescent="0.25">
      <c r="S349" s="3">
        <v>3891</v>
      </c>
      <c r="T349" s="7">
        <v>1</v>
      </c>
    </row>
    <row r="350" spans="19:20" x14ac:dyDescent="0.25">
      <c r="S350" s="3">
        <v>3894</v>
      </c>
      <c r="T350" s="7">
        <v>1</v>
      </c>
    </row>
    <row r="351" spans="19:20" x14ac:dyDescent="0.25">
      <c r="S351" s="3">
        <v>3895</v>
      </c>
      <c r="T351" s="7">
        <v>2</v>
      </c>
    </row>
    <row r="352" spans="19:20" x14ac:dyDescent="0.25">
      <c r="S352" s="3">
        <v>3896</v>
      </c>
      <c r="T352" s="7">
        <v>2</v>
      </c>
    </row>
    <row r="353" spans="19:20" x14ac:dyDescent="0.25">
      <c r="S353" s="3">
        <v>3901</v>
      </c>
      <c r="T353" s="7">
        <v>1</v>
      </c>
    </row>
    <row r="354" spans="19:20" x14ac:dyDescent="0.25">
      <c r="S354" s="3">
        <v>3903</v>
      </c>
      <c r="T354" s="7">
        <v>1</v>
      </c>
    </row>
    <row r="355" spans="19:20" x14ac:dyDescent="0.25">
      <c r="S355" s="3">
        <v>3904</v>
      </c>
      <c r="T355" s="7">
        <v>1</v>
      </c>
    </row>
    <row r="356" spans="19:20" x14ac:dyDescent="0.25">
      <c r="S356" s="3">
        <v>3908</v>
      </c>
      <c r="T356" s="7">
        <v>3</v>
      </c>
    </row>
    <row r="357" spans="19:20" x14ac:dyDescent="0.25">
      <c r="S357" s="3">
        <v>3909</v>
      </c>
      <c r="T357" s="7">
        <v>1</v>
      </c>
    </row>
    <row r="358" spans="19:20" x14ac:dyDescent="0.25">
      <c r="S358" s="3">
        <v>3910</v>
      </c>
      <c r="T358" s="7">
        <v>1</v>
      </c>
    </row>
    <row r="359" spans="19:20" x14ac:dyDescent="0.25">
      <c r="S359" s="3">
        <v>3911</v>
      </c>
      <c r="T359" s="7">
        <v>2</v>
      </c>
    </row>
    <row r="360" spans="19:20" x14ac:dyDescent="0.25">
      <c r="S360" s="3">
        <v>3914</v>
      </c>
      <c r="T360" s="7">
        <v>1</v>
      </c>
    </row>
    <row r="361" spans="19:20" x14ac:dyDescent="0.25">
      <c r="S361" s="3">
        <v>3916</v>
      </c>
      <c r="T361" s="7">
        <v>1</v>
      </c>
    </row>
    <row r="362" spans="19:20" x14ac:dyDescent="0.25">
      <c r="S362" s="3">
        <v>3917</v>
      </c>
      <c r="T362" s="7">
        <v>2</v>
      </c>
    </row>
    <row r="363" spans="19:20" x14ac:dyDescent="0.25">
      <c r="S363" s="3">
        <v>3919</v>
      </c>
      <c r="T363" s="7">
        <v>1</v>
      </c>
    </row>
    <row r="364" spans="19:20" x14ac:dyDescent="0.25">
      <c r="S364" s="3">
        <v>3923</v>
      </c>
      <c r="T364" s="7">
        <v>1</v>
      </c>
    </row>
    <row r="365" spans="19:20" x14ac:dyDescent="0.25">
      <c r="S365" s="3">
        <v>3924</v>
      </c>
      <c r="T365" s="7">
        <v>2</v>
      </c>
    </row>
    <row r="366" spans="19:20" x14ac:dyDescent="0.25">
      <c r="S366" s="3">
        <v>3927</v>
      </c>
      <c r="T366" s="7">
        <v>1</v>
      </c>
    </row>
    <row r="367" spans="19:20" x14ac:dyDescent="0.25">
      <c r="S367" s="3">
        <v>3930</v>
      </c>
      <c r="T367" s="7">
        <v>1</v>
      </c>
    </row>
    <row r="368" spans="19:20" x14ac:dyDescent="0.25">
      <c r="S368" s="3">
        <v>3931</v>
      </c>
      <c r="T368" s="7">
        <v>1</v>
      </c>
    </row>
    <row r="369" spans="19:20" x14ac:dyDescent="0.25">
      <c r="S369" s="3">
        <v>3932</v>
      </c>
      <c r="T369" s="7">
        <v>1</v>
      </c>
    </row>
    <row r="370" spans="19:20" x14ac:dyDescent="0.25">
      <c r="S370" s="3">
        <v>3936</v>
      </c>
      <c r="T370" s="7">
        <v>1</v>
      </c>
    </row>
    <row r="371" spans="19:20" x14ac:dyDescent="0.25">
      <c r="S371" s="3">
        <v>3938</v>
      </c>
      <c r="T371" s="7">
        <v>1</v>
      </c>
    </row>
    <row r="372" spans="19:20" x14ac:dyDescent="0.25">
      <c r="S372" s="3">
        <v>3939</v>
      </c>
      <c r="T372" s="7">
        <v>1</v>
      </c>
    </row>
    <row r="373" spans="19:20" x14ac:dyDescent="0.25">
      <c r="S373" s="3">
        <v>3940</v>
      </c>
      <c r="T373" s="7">
        <v>2</v>
      </c>
    </row>
    <row r="374" spans="19:20" x14ac:dyDescent="0.25">
      <c r="S374" s="3">
        <v>3942</v>
      </c>
      <c r="T374" s="7">
        <v>1</v>
      </c>
    </row>
    <row r="375" spans="19:20" x14ac:dyDescent="0.25">
      <c r="S375" s="3">
        <v>3944</v>
      </c>
      <c r="T375" s="7">
        <v>1</v>
      </c>
    </row>
    <row r="376" spans="19:20" x14ac:dyDescent="0.25">
      <c r="S376" s="3">
        <v>3946</v>
      </c>
      <c r="T376" s="7">
        <v>2</v>
      </c>
    </row>
    <row r="377" spans="19:20" x14ac:dyDescent="0.25">
      <c r="S377" s="3">
        <v>3947</v>
      </c>
      <c r="T377" s="7">
        <v>1</v>
      </c>
    </row>
    <row r="378" spans="19:20" x14ac:dyDescent="0.25">
      <c r="S378" s="3">
        <v>3949</v>
      </c>
      <c r="T378" s="7">
        <v>1</v>
      </c>
    </row>
    <row r="379" spans="19:20" x14ac:dyDescent="0.25">
      <c r="S379" s="3">
        <v>3950</v>
      </c>
      <c r="T379" s="7">
        <v>1</v>
      </c>
    </row>
    <row r="380" spans="19:20" x14ac:dyDescent="0.25">
      <c r="S380" s="3">
        <v>3954</v>
      </c>
      <c r="T380" s="7">
        <v>1</v>
      </c>
    </row>
    <row r="381" spans="19:20" x14ac:dyDescent="0.25">
      <c r="S381" s="3">
        <v>3958</v>
      </c>
      <c r="T381" s="7">
        <v>1</v>
      </c>
    </row>
    <row r="382" spans="19:20" x14ac:dyDescent="0.25">
      <c r="S382" s="3">
        <v>3960</v>
      </c>
      <c r="T382" s="7">
        <v>1</v>
      </c>
    </row>
    <row r="383" spans="19:20" x14ac:dyDescent="0.25">
      <c r="S383" s="3">
        <v>3965</v>
      </c>
      <c r="T383" s="7">
        <v>1</v>
      </c>
    </row>
    <row r="384" spans="19:20" x14ac:dyDescent="0.25">
      <c r="S384" s="3">
        <v>3966</v>
      </c>
      <c r="T384" s="7">
        <v>1</v>
      </c>
    </row>
    <row r="385" spans="19:20" x14ac:dyDescent="0.25">
      <c r="S385" s="3">
        <v>3969</v>
      </c>
      <c r="T385" s="7">
        <v>3</v>
      </c>
    </row>
    <row r="386" spans="19:20" x14ac:dyDescent="0.25">
      <c r="S386" s="3">
        <v>3970</v>
      </c>
      <c r="T386" s="7">
        <v>1</v>
      </c>
    </row>
    <row r="387" spans="19:20" x14ac:dyDescent="0.25">
      <c r="S387" s="3">
        <v>3973</v>
      </c>
      <c r="T387" s="7">
        <v>1</v>
      </c>
    </row>
    <row r="388" spans="19:20" x14ac:dyDescent="0.25">
      <c r="S388" s="3">
        <v>3977</v>
      </c>
      <c r="T388" s="7">
        <v>1</v>
      </c>
    </row>
    <row r="389" spans="19:20" x14ac:dyDescent="0.25">
      <c r="S389" s="3">
        <v>3979</v>
      </c>
      <c r="T389" s="7">
        <v>1</v>
      </c>
    </row>
    <row r="390" spans="19:20" x14ac:dyDescent="0.25">
      <c r="S390" s="3">
        <v>3981</v>
      </c>
      <c r="T390" s="7">
        <v>1</v>
      </c>
    </row>
    <row r="391" spans="19:20" x14ac:dyDescent="0.25">
      <c r="S391" s="3">
        <v>3985</v>
      </c>
      <c r="T391" s="7">
        <v>1</v>
      </c>
    </row>
    <row r="392" spans="19:20" x14ac:dyDescent="0.25">
      <c r="S392" s="3">
        <v>3986</v>
      </c>
      <c r="T392" s="7">
        <v>1</v>
      </c>
    </row>
    <row r="393" spans="19:20" x14ac:dyDescent="0.25">
      <c r="S393" s="3">
        <v>3987</v>
      </c>
      <c r="T393" s="7">
        <v>2</v>
      </c>
    </row>
    <row r="394" spans="19:20" x14ac:dyDescent="0.25">
      <c r="S394" s="3">
        <v>3988</v>
      </c>
      <c r="T394" s="7">
        <v>1</v>
      </c>
    </row>
    <row r="395" spans="19:20" x14ac:dyDescent="0.25">
      <c r="S395" s="3">
        <v>3989</v>
      </c>
      <c r="T395" s="7">
        <v>1</v>
      </c>
    </row>
    <row r="396" spans="19:20" x14ac:dyDescent="0.25">
      <c r="S396" s="3">
        <v>3991</v>
      </c>
      <c r="T396" s="7">
        <v>1</v>
      </c>
    </row>
    <row r="397" spans="19:20" x14ac:dyDescent="0.25">
      <c r="S397" s="3">
        <v>3992</v>
      </c>
      <c r="T397" s="7">
        <v>1</v>
      </c>
    </row>
    <row r="398" spans="19:20" x14ac:dyDescent="0.25">
      <c r="S398" s="3">
        <v>3994</v>
      </c>
      <c r="T398" s="7">
        <v>1</v>
      </c>
    </row>
    <row r="399" spans="19:20" x14ac:dyDescent="0.25">
      <c r="S399" s="3">
        <v>3998</v>
      </c>
      <c r="T399" s="7">
        <v>1</v>
      </c>
    </row>
    <row r="400" spans="19:20" x14ac:dyDescent="0.25">
      <c r="S400" s="3">
        <v>3999</v>
      </c>
      <c r="T400" s="7">
        <v>1</v>
      </c>
    </row>
    <row r="401" spans="19:20" x14ac:dyDescent="0.25">
      <c r="S401" s="3" t="s">
        <v>37</v>
      </c>
      <c r="T401" s="7">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sheetPr>
  <dimension ref="AB1:AB26"/>
  <sheetViews>
    <sheetView showGridLines="0" tabSelected="1" zoomScale="80" zoomScaleNormal="80" workbookViewId="0">
      <selection activeCell="AB11" sqref="AB11"/>
    </sheetView>
  </sheetViews>
  <sheetFormatPr defaultRowHeight="15" x14ac:dyDescent="0.25"/>
  <cols>
    <col min="1" max="1" width="1.7109375" style="5" customWidth="1"/>
    <col min="2" max="6" width="9.140625" style="5"/>
    <col min="7" max="7" width="9.140625" style="5" customWidth="1"/>
    <col min="8" max="10" width="9.140625" style="5"/>
    <col min="11" max="11" width="1.7109375" style="5" customWidth="1"/>
    <col min="12" max="13" width="9.140625" style="5" customWidth="1"/>
    <col min="14" max="18" width="9.140625" style="5"/>
    <col min="19" max="19" width="9.140625" style="5" customWidth="1"/>
    <col min="20" max="20" width="9.140625" style="5"/>
    <col min="21" max="21" width="1.7109375" style="5" customWidth="1"/>
    <col min="22" max="25" width="9.140625" style="5"/>
    <col min="26" max="26" width="9.28515625" style="5" customWidth="1"/>
    <col min="27" max="16384" width="9.140625" style="5"/>
  </cols>
  <sheetData>
    <row r="1" spans="28:28" ht="5.0999999999999996" customHeight="1" x14ac:dyDescent="0.25"/>
    <row r="5" spans="28:28" ht="15" customHeight="1" x14ac:dyDescent="0.25"/>
    <row r="6" spans="28:28" ht="5.0999999999999996" customHeight="1" x14ac:dyDescent="0.25"/>
    <row r="9" spans="28:28" x14ac:dyDescent="0.25">
      <c r="AB9" s="6"/>
    </row>
    <row r="11" spans="28:28" ht="15" customHeight="1" x14ac:dyDescent="0.25"/>
    <row r="12" spans="28:28" ht="5.0999999999999996" customHeight="1" x14ac:dyDescent="0.25"/>
    <row r="17" s="5" customFormat="1" ht="15" customHeight="1" x14ac:dyDescent="0.25"/>
    <row r="18" s="5" customFormat="1" ht="15" customHeight="1" x14ac:dyDescent="0.25"/>
    <row r="22" s="5" customFormat="1" ht="8.1" customHeight="1" x14ac:dyDescent="0.25"/>
    <row r="25" s="5" customFormat="1" ht="15" customHeight="1" x14ac:dyDescent="0.25"/>
    <row r="26" s="5" customFormat="1" ht="1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 Sales &amp; Profit Analysis </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2026-05-22T07:31:14Z</dcterms:created>
  <dcterms:modified xsi:type="dcterms:W3CDTF">2026-05-26T04:39:59Z</dcterms:modified>
</cp:coreProperties>
</file>